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s Table" sheetId="1" state="visible" r:id="rId1"/>
    <sheet name="Assumptions" sheetId="2" state="visible" r:id="rId2"/>
  </sheets>
  <definedNames>
    <definedName name="_xlnm.Print_Titles" localSheetId="0">'Comps Table'!$1:$4</definedName>
  </definedNames>
  <calcPr calcId="124519" fullCalcOnLoad="1"/>
</workbook>
</file>

<file path=xl/styles.xml><?xml version="1.0" encoding="utf-8"?>
<styleSheet xmlns="http://schemas.openxmlformats.org/spreadsheetml/2006/main">
  <numFmts count="9">
    <numFmt numFmtId="164" formatCode="&quot;US$&quot;#,##0.00"/>
    <numFmt numFmtId="165" formatCode="&quot;US$&quot;#,##0.0000"/>
    <numFmt numFmtId="166" formatCode="0.0000"/>
    <numFmt numFmtId="167" formatCode="#,##0.0"/>
    <numFmt numFmtId="168" formatCode="&quot;A$&quot;#,##0.0"/>
    <numFmt numFmtId="169" formatCode="_-&quot;A$&quot;* #,##0.0_-;[Red]_-&quot;A$&quot;* (#,##0.0)_-;_-&quot;A$&quot;* &quot;-&quot;??_-;_-@_-"/>
    <numFmt numFmtId="170" formatCode="&quot;A$&quot;#,##0.000"/>
    <numFmt numFmtId="171" formatCode="&quot;A$&quot;#,##0"/>
    <numFmt numFmtId="172" formatCode="&quot;US$&quot;#,##0"/>
  </numFmts>
  <fonts count="19">
    <font>
      <name val="Calibri"/>
      <family val="2"/>
      <color theme="1"/>
      <sz val="11"/>
      <scheme val="minor"/>
    </font>
    <font>
      <name val="Calibri"/>
      <b val="1"/>
      <color rgb="00FFFFFF"/>
      <sz val="12"/>
    </font>
    <font>
      <name val="Calibri"/>
      <color rgb="00FFFFFF"/>
      <sz val="9"/>
    </font>
    <font>
      <name val="Calibri"/>
      <b val="1"/>
      <color rgb="00FFFFFF"/>
      <sz val="10"/>
    </font>
    <font>
      <name val="Calibri"/>
      <b val="1"/>
      <color rgb="00FFFFFF"/>
      <sz val="9"/>
    </font>
    <font>
      <name val="Calibri"/>
      <b val="1"/>
      <color rgb="001A1A1A"/>
      <sz val="9"/>
    </font>
    <font>
      <name val="Calibri"/>
      <color rgb="001A1A1A"/>
      <sz val="9"/>
    </font>
    <font>
      <name val="Calibri"/>
      <b val="1"/>
      <color rgb="001A1A1A"/>
      <sz val="10"/>
    </font>
    <font>
      <name val="Calibri"/>
      <color rgb="007F6000"/>
      <sz val="8"/>
    </font>
    <font>
      <name val="Calibri"/>
      <b val="1"/>
      <color rgb="00FFFFFF"/>
      <sz val="8"/>
    </font>
    <font>
      <name val="Calibri"/>
      <i val="1"/>
      <color rgb="001A1A1A"/>
      <sz val="8"/>
    </font>
    <font>
      <name val="Calibri"/>
      <b val="1"/>
      <color rgb="00FFFFFF"/>
      <sz val="14"/>
    </font>
    <font>
      <name val="Calibri"/>
      <color rgb="00595959"/>
      <sz val="9"/>
    </font>
    <font>
      <name val="Calibri"/>
      <color rgb="001A1A1A"/>
      <sz val="10"/>
    </font>
    <font>
      <name val="Calibri"/>
      <color rgb="007F6000"/>
      <sz val="9"/>
    </font>
    <font>
      <name val="Calibri"/>
      <b val="1"/>
      <color rgb="007F6000"/>
      <sz val="8"/>
    </font>
    <font>
      <name val="Calibri"/>
      <i val="1"/>
      <color rgb="007F6000"/>
      <sz val="8"/>
    </font>
    <font>
      <name val="Calibri"/>
      <b val="1"/>
      <color rgb="00595959"/>
      <sz val="8"/>
    </font>
    <font>
      <name val="Calibri"/>
      <b val="1"/>
      <color rgb="001F4E79"/>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17375E"/>
      </patternFill>
    </fill>
    <fill>
      <patternFill patternType="solid">
        <fgColor rgb="00EBF3FB"/>
      </patternFill>
    </fill>
    <fill>
      <patternFill patternType="solid">
        <fgColor rgb="00FFFFFF"/>
      </patternFill>
    </fill>
    <fill>
      <patternFill patternType="solid">
        <fgColor rgb="00FFF2CC"/>
      </patternFill>
    </fill>
    <fill>
      <patternFill patternType="solid">
        <fgColor rgb="00D6E4F7"/>
      </patternFill>
    </fill>
    <fill>
      <patternFill patternType="solid">
        <fgColor rgb="00F2F2F2"/>
      </patternFill>
    </fill>
  </fills>
  <borders count="9">
    <border>
      <left/>
      <right/>
      <top/>
      <bottom/>
      <diagonal/>
    </border>
    <border/>
    <border>
      <left style="thin">
        <color rgb="009DC3E6"/>
      </left>
      <right style="thin">
        <color rgb="009DC3E6"/>
      </right>
      <top style="thin">
        <color rgb="009DC3E6"/>
      </top>
      <bottom style="medium">
        <color rgb="001F4E79"/>
      </bottom>
    </border>
    <border>
      <left style="thin">
        <color rgb="009DC3E6"/>
      </left>
      <right style="thin">
        <color rgb="009DC3E6"/>
      </right>
      <top style="thin">
        <color rgb="009DC3E6"/>
      </top>
      <bottom style="thin">
        <color rgb="009DC3E6"/>
      </bottom>
    </border>
    <border>
      <left/>
      <right/>
      <top style="thin">
        <color rgb="009DC3E6"/>
      </top>
      <bottom/>
      <diagonal/>
    </border>
    <border>
      <left/>
      <right style="thin">
        <color rgb="009DC3E6"/>
      </right>
      <top style="thin">
        <color rgb="009DC3E6"/>
      </top>
      <bottom/>
      <diagonal/>
    </border>
    <border>
      <left/>
      <right/>
      <top style="thin">
        <color rgb="009DC3E6"/>
      </top>
      <bottom style="thin">
        <color rgb="009DC3E6"/>
      </bottom>
      <diagonal/>
    </border>
    <border>
      <left/>
      <right style="thin">
        <color rgb="009DC3E6"/>
      </right>
      <top style="thin">
        <color rgb="009DC3E6"/>
      </top>
      <bottom style="thin">
        <color rgb="009DC3E6"/>
      </bottom>
      <diagonal/>
    </border>
    <border>
      <bottom style="medium">
        <color rgb="001F4E79"/>
      </bottom>
    </border>
  </borders>
  <cellStyleXfs count="1">
    <xf numFmtId="0" fontId="0" fillId="0" borderId="0"/>
  </cellStyleXfs>
  <cellXfs count="73">
    <xf numFmtId="0" fontId="0" fillId="0" borderId="0" pivotButton="0" quotePrefix="0" xfId="0"/>
    <xf numFmtId="0" fontId="11" fillId="2" borderId="1" applyAlignment="1" pivotButton="0" quotePrefix="0" xfId="0">
      <alignment horizontal="center" vertical="center"/>
    </xf>
    <xf numFmtId="0" fontId="2" fillId="3" borderId="1" applyAlignment="1" pivotButton="0" quotePrefix="0" xfId="0">
      <alignment horizontal="left" vertical="center"/>
    </xf>
    <xf numFmtId="0" fontId="4" fillId="2" borderId="2" applyAlignment="1" pivotButton="0" quotePrefix="0" xfId="0">
      <alignment horizontal="center" vertical="center" wrapText="1"/>
    </xf>
    <xf numFmtId="0" fontId="4" fillId="2" borderId="2" applyAlignment="1" pivotButton="0" quotePrefix="0" xfId="0">
      <alignment horizontal="left" vertical="center" wrapText="1"/>
    </xf>
    <xf numFmtId="0" fontId="4" fillId="2" borderId="2" applyAlignment="1" pivotButton="0" quotePrefix="0" xfId="0">
      <alignment horizontal="right" vertical="center" wrapText="1"/>
    </xf>
    <xf numFmtId="0" fontId="12" fillId="8" borderId="3" applyAlignment="1" pivotButton="0" quotePrefix="0" xfId="0">
      <alignment horizontal="center" vertical="center"/>
    </xf>
    <xf numFmtId="0" fontId="7" fillId="8" borderId="3" applyAlignment="1" pivotButton="0" quotePrefix="0" xfId="0">
      <alignment horizontal="left" vertical="center"/>
    </xf>
    <xf numFmtId="0" fontId="7" fillId="8" borderId="3" applyAlignment="1" pivotButton="0" quotePrefix="0" xfId="0">
      <alignment horizontal="center" vertical="center"/>
    </xf>
    <xf numFmtId="170" fontId="7" fillId="8" borderId="3" applyAlignment="1" pivotButton="0" quotePrefix="0" xfId="0">
      <alignment horizontal="right" vertical="center"/>
    </xf>
    <xf numFmtId="167" fontId="13" fillId="8" borderId="3" applyAlignment="1" pivotButton="0" quotePrefix="0" xfId="0">
      <alignment horizontal="right" vertical="center"/>
    </xf>
    <xf numFmtId="168" fontId="13" fillId="8" borderId="3" applyAlignment="1" pivotButton="0" quotePrefix="0" xfId="0">
      <alignment horizontal="right" vertical="center"/>
    </xf>
    <xf numFmtId="169" fontId="13" fillId="8" borderId="3" applyAlignment="1" pivotButton="0" quotePrefix="0" xfId="0">
      <alignment horizontal="right" vertical="center"/>
    </xf>
    <xf numFmtId="168" fontId="7" fillId="8" borderId="3" applyAlignment="1" pivotButton="0" quotePrefix="0" xfId="0">
      <alignment horizontal="right" vertical="center"/>
    </xf>
    <xf numFmtId="171" fontId="7" fillId="8" borderId="3" applyAlignment="1" pivotButton="0" quotePrefix="0" xfId="0">
      <alignment horizontal="right" vertical="center"/>
    </xf>
    <xf numFmtId="0" fontId="14" fillId="8" borderId="3" applyAlignment="1" pivotButton="0" quotePrefix="0" xfId="0">
      <alignment horizontal="center" vertical="center"/>
    </xf>
    <xf numFmtId="0" fontId="12" fillId="6" borderId="3" applyAlignment="1" pivotButton="0" quotePrefix="0" xfId="0">
      <alignment horizontal="center" vertical="center"/>
    </xf>
    <xf numFmtId="0" fontId="7" fillId="6" borderId="3" applyAlignment="1" pivotButton="0" quotePrefix="0" xfId="0">
      <alignment horizontal="left" vertical="center"/>
    </xf>
    <xf numFmtId="0" fontId="7" fillId="6" borderId="3" applyAlignment="1" pivotButton="0" quotePrefix="0" xfId="0">
      <alignment horizontal="center" vertical="center"/>
    </xf>
    <xf numFmtId="170" fontId="7" fillId="6" borderId="3" applyAlignment="1" pivotButton="0" quotePrefix="0" xfId="0">
      <alignment horizontal="right" vertical="center"/>
    </xf>
    <xf numFmtId="167" fontId="13" fillId="6" borderId="3" applyAlignment="1" pivotButton="0" quotePrefix="0" xfId="0">
      <alignment horizontal="right" vertical="center"/>
    </xf>
    <xf numFmtId="168" fontId="13" fillId="6" borderId="3" applyAlignment="1" pivotButton="0" quotePrefix="0" xfId="0">
      <alignment horizontal="right" vertical="center"/>
    </xf>
    <xf numFmtId="169" fontId="13" fillId="6" borderId="3" applyAlignment="1" pivotButton="0" quotePrefix="0" xfId="0">
      <alignment horizontal="right" vertical="center"/>
    </xf>
    <xf numFmtId="168" fontId="7" fillId="6" borderId="3" applyAlignment="1" pivotButton="0" quotePrefix="0" xfId="0">
      <alignment horizontal="right" vertical="center"/>
    </xf>
    <xf numFmtId="171" fontId="7" fillId="6" borderId="3" applyAlignment="1" pivotButton="0" quotePrefix="0" xfId="0">
      <alignment horizontal="right" vertical="center"/>
    </xf>
    <xf numFmtId="0" fontId="14" fillId="6" borderId="3" applyAlignment="1" pivotButton="0" quotePrefix="0" xfId="0">
      <alignment horizontal="center" vertical="center"/>
    </xf>
    <xf numFmtId="0" fontId="13" fillId="8" borderId="3" applyAlignment="1" pivotButton="0" quotePrefix="0" xfId="0">
      <alignment horizontal="left" vertical="center"/>
    </xf>
    <xf numFmtId="0" fontId="13" fillId="6" borderId="3" applyAlignment="1" pivotButton="0" quotePrefix="0" xfId="0">
      <alignment horizontal="left" vertical="center"/>
    </xf>
    <xf numFmtId="0" fontId="0" fillId="0" borderId="8" pivotButton="0" quotePrefix="0" xfId="0"/>
    <xf numFmtId="0" fontId="4" fillId="2" borderId="1" applyAlignment="1" pivotButton="0" quotePrefix="0" xfId="0">
      <alignment horizontal="center" vertical="center"/>
    </xf>
    <xf numFmtId="0" fontId="15" fillId="7" borderId="1" applyAlignment="1" pivotButton="0" quotePrefix="0" xfId="0">
      <alignment horizontal="left" vertical="center"/>
    </xf>
    <xf numFmtId="0" fontId="16" fillId="7" borderId="1" applyAlignment="1" pivotButton="0" quotePrefix="0" xfId="0">
      <alignment horizontal="left" vertical="center" wrapText="1"/>
    </xf>
    <xf numFmtId="0" fontId="4" fillId="4" borderId="1" applyAlignment="1" pivotButton="0" quotePrefix="0" xfId="0">
      <alignment horizontal="center" vertical="center"/>
    </xf>
    <xf numFmtId="0" fontId="17" fillId="5" borderId="3" applyAlignment="1" pivotButton="0" quotePrefix="0" xfId="0">
      <alignment horizontal="right" vertical="center"/>
    </xf>
    <xf numFmtId="172" fontId="18" fillId="5" borderId="3" applyAlignment="1" pivotButton="0" quotePrefix="0" xfId="0">
      <alignment horizontal="left" vertical="center"/>
    </xf>
    <xf numFmtId="164" fontId="18" fillId="5" borderId="3" applyAlignment="1" pivotButton="0" quotePrefix="0" xfId="0">
      <alignment horizontal="left" vertical="center"/>
    </xf>
    <xf numFmtId="172" fontId="17" fillId="5" borderId="3" applyAlignment="1" pivotButton="0" quotePrefix="0" xfId="0">
      <alignment horizontal="right" vertical="center"/>
    </xf>
    <xf numFmtId="166" fontId="18" fillId="5" borderId="3" applyAlignment="1" pivotButton="0" quotePrefix="0" xfId="0">
      <alignment horizontal="left" vertical="center"/>
    </xf>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3" borderId="2" applyAlignment="1" pivotButton="0" quotePrefix="0" xfId="0">
      <alignment horizontal="center" vertical="center"/>
    </xf>
    <xf numFmtId="0" fontId="5" fillId="5" borderId="3" applyAlignment="1" pivotButton="0" quotePrefix="0" xfId="0">
      <alignment horizontal="left" vertical="center"/>
    </xf>
    <xf numFmtId="0" fontId="6" fillId="5" borderId="3" applyAlignment="1" pivotButton="0" quotePrefix="0" xfId="0">
      <alignment horizontal="center" vertical="center"/>
    </xf>
    <xf numFmtId="164" fontId="7" fillId="5" borderId="3" applyAlignment="1" pivotButton="0" quotePrefix="0" xfId="0">
      <alignment horizontal="right" vertical="center"/>
    </xf>
    <xf numFmtId="0" fontId="6" fillId="5" borderId="3" applyAlignment="1" pivotButton="0" quotePrefix="0" xfId="0">
      <alignment horizontal="left" vertical="center"/>
    </xf>
    <xf numFmtId="0" fontId="5" fillId="6" borderId="3" applyAlignment="1" pivotButton="0" quotePrefix="0" xfId="0">
      <alignment horizontal="left" vertical="center"/>
    </xf>
    <xf numFmtId="0" fontId="6" fillId="6" borderId="3" applyAlignment="1" pivotButton="0" quotePrefix="0" xfId="0">
      <alignment horizontal="center" vertical="center"/>
    </xf>
    <xf numFmtId="164" fontId="7" fillId="6" borderId="3" applyAlignment="1" pivotButton="0" quotePrefix="0" xfId="0">
      <alignment horizontal="right" vertical="center"/>
    </xf>
    <xf numFmtId="0" fontId="6" fillId="6" borderId="3" applyAlignment="1" pivotButton="0" quotePrefix="0" xfId="0">
      <alignment horizontal="left" vertical="center"/>
    </xf>
    <xf numFmtId="165" fontId="7" fillId="5" borderId="3" applyAlignment="1" pivotButton="0" quotePrefix="0" xfId="0">
      <alignment horizontal="right" vertical="center"/>
    </xf>
    <xf numFmtId="166" fontId="7" fillId="6" borderId="3" applyAlignment="1" pivotButton="0" quotePrefix="0" xfId="0">
      <alignment horizontal="right" vertical="center"/>
    </xf>
    <xf numFmtId="0" fontId="8" fillId="7" borderId="1" applyAlignment="1" pivotButton="0" quotePrefix="0" xfId="0">
      <alignment horizontal="left" vertical="center" wrapText="1"/>
    </xf>
    <xf numFmtId="0" fontId="9" fillId="3" borderId="2" applyAlignment="1" pivotButton="0" quotePrefix="0" xfId="0">
      <alignment horizontal="center" vertical="center" wrapText="1"/>
    </xf>
    <xf numFmtId="167" fontId="6" fillId="5" borderId="3" applyAlignment="1" pivotButton="0" quotePrefix="0" xfId="0">
      <alignment horizontal="right" vertical="center"/>
    </xf>
    <xf numFmtId="167" fontId="5" fillId="5" borderId="3" applyAlignment="1" pivotButton="0" quotePrefix="0" xfId="0">
      <alignment horizontal="right" vertical="center"/>
    </xf>
    <xf numFmtId="167" fontId="5" fillId="8" borderId="3" applyAlignment="1" pivotButton="0" quotePrefix="0" xfId="0">
      <alignment horizontal="right" vertical="center"/>
    </xf>
    <xf numFmtId="0" fontId="10" fillId="5" borderId="3" applyAlignment="1" pivotButton="0" quotePrefix="0" xfId="0">
      <alignment horizontal="left" vertical="center" wrapText="1"/>
    </xf>
    <xf numFmtId="167" fontId="6" fillId="6" borderId="3" applyAlignment="1" pivotButton="0" quotePrefix="0" xfId="0">
      <alignment horizontal="right" vertical="center"/>
    </xf>
    <xf numFmtId="167" fontId="5" fillId="6" borderId="3" applyAlignment="1" pivotButton="0" quotePrefix="0" xfId="0">
      <alignment horizontal="right" vertical="center"/>
    </xf>
    <xf numFmtId="0" fontId="10" fillId="6" borderId="3" applyAlignment="1" pivotButton="0" quotePrefix="0" xfId="0">
      <alignment horizontal="left" vertical="center" wrapText="1"/>
    </xf>
    <xf numFmtId="0" fontId="5" fillId="9" borderId="3" applyAlignment="1" pivotButton="0" quotePrefix="0" xfId="0">
      <alignment horizontal="left" vertical="center"/>
    </xf>
    <xf numFmtId="0" fontId="6" fillId="9" borderId="3" applyAlignment="1" pivotButton="0" quotePrefix="0" xfId="0">
      <alignment horizontal="left" vertical="center"/>
    </xf>
    <xf numFmtId="167" fontId="6" fillId="9" borderId="3" applyAlignment="1" pivotButton="0" quotePrefix="0" xfId="0">
      <alignment horizontal="right" vertical="center"/>
    </xf>
    <xf numFmtId="0" fontId="10" fillId="9" borderId="3" applyAlignment="1" pivotButton="0" quotePrefix="0" xfId="0">
      <alignment horizontal="left" vertical="center" wrapText="1"/>
    </xf>
    <xf numFmtId="0" fontId="0" fillId="0" borderId="6" pivotButton="0" quotePrefix="0" xfId="0"/>
    <xf numFmtId="0" fontId="0" fillId="0" borderId="7" pivotButton="0" quotePrefix="0" xfId="0"/>
    <xf numFmtId="0" fontId="4" fillId="3" borderId="3" applyAlignment="1" pivotButton="0" quotePrefix="0" xfId="0">
      <alignment horizontal="center" vertical="center"/>
    </xf>
    <xf numFmtId="168" fontId="6" fillId="9" borderId="3" applyAlignment="1" pivotButton="0" quotePrefix="0" xfId="0">
      <alignment horizontal="right" vertical="center"/>
    </xf>
    <xf numFmtId="169" fontId="5" fillId="9" borderId="3" applyAlignment="1" pivotButton="0" quotePrefix="0" xfId="0">
      <alignment horizontal="right" vertical="center"/>
    </xf>
    <xf numFmtId="0" fontId="6" fillId="9" borderId="3" applyAlignment="1" pivotButton="0" quotePrefix="0" xfId="0">
      <alignment horizontal="center" vertical="center"/>
    </xf>
    <xf numFmtId="168" fontId="6" fillId="6" borderId="3" applyAlignment="1" pivotButton="0" quotePrefix="0" xfId="0">
      <alignment horizontal="right" vertical="center"/>
    </xf>
    <xf numFmtId="169" fontId="5"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K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9" customWidth="1" min="2" max="2"/>
    <col width="7" customWidth="1" min="3" max="3"/>
    <col width="13" customWidth="1" min="4" max="4"/>
    <col width="13" customWidth="1" min="5" max="5"/>
    <col width="13" customWidth="1" min="6" max="6"/>
    <col width="16" customWidth="1" min="7" max="7"/>
    <col width="13" customWidth="1" min="8" max="8"/>
    <col width="14" customWidth="1" min="9" max="9"/>
    <col width="13" customWidth="1" min="10" max="10"/>
    <col width="5" customWidth="1" min="11" max="11"/>
  </cols>
  <sheetData>
    <row r="1" ht="26" customHeight="1">
      <c r="A1" s="1" t="inlineStr">
        <is>
          <t>ASX COPPER &amp; BASE METALS — COMPARABLE COMPANIES ANALYSIS</t>
        </is>
      </c>
    </row>
    <row r="2" ht="14" customHeight="1">
      <c r="A2" s="2" t="inlineStr">
        <is>
          <t>Share prices &amp; metal spot prices sourced live via IRESS RTD  |  Financial data from ASX company announcements (Appendix 5B / Quarterly Activities Reports) — March 2026 quarter  |  All figures in A$M unless stated  |  Guidance midpoints used throughout</t>
        </is>
      </c>
    </row>
    <row r="3" ht="4" customHeight="1"/>
    <row r="4" ht="36" customHeight="1">
      <c r="A4" s="3" t="inlineStr">
        <is>
          <t>#</t>
        </is>
      </c>
      <c r="B4" s="4" t="inlineStr">
        <is>
          <t>Company Name</t>
        </is>
      </c>
      <c r="C4" s="3" t="inlineStr">
        <is>
          <t>ASX
Code</t>
        </is>
      </c>
      <c r="D4" s="5" t="inlineStr">
        <is>
          <t>Share Price
(A$/share)</t>
        </is>
      </c>
      <c r="E4" s="5" t="inlineStr">
        <is>
          <t>Shares on
Issue (M)</t>
        </is>
      </c>
      <c r="F4" s="5" t="inlineStr">
        <is>
          <t>Market Cap
(A$M)</t>
        </is>
      </c>
      <c r="G4" s="5" t="inlineStr">
        <is>
          <t>Net (Cash) /
Debt (A$M)</t>
        </is>
      </c>
      <c r="H4" s="5" t="inlineStr">
        <is>
          <t>EV
(A$M)</t>
        </is>
      </c>
      <c r="I4" s="5" t="inlineStr">
        <is>
          <t>CuEq Guidance
(kt pa) ⁽¹⁾</t>
        </is>
      </c>
      <c r="J4" s="5" t="inlineStr">
        <is>
          <t>EV / CuEq
(A$/t)</t>
        </is>
      </c>
      <c r="K4" s="3" t="inlineStr">
        <is>
          <t>⚑</t>
        </is>
      </c>
    </row>
    <row r="5" ht="18" customHeight="1">
      <c r="A5" s="6" t="n">
        <v>1</v>
      </c>
      <c r="B5" s="7" t="inlineStr">
        <is>
          <t>Aeris Resources Limited</t>
        </is>
      </c>
      <c r="C5" s="8" t="inlineStr">
        <is>
          <t>AIS</t>
        </is>
      </c>
      <c r="D5" s="9">
        <f>@IRESSRtd("Quote","13","0","AIS")</f>
        <v/>
      </c>
      <c r="E5" s="10" t="n">
        <v>1197.168782</v>
      </c>
      <c r="F5" s="11">
        <f>D5*E5</f>
        <v/>
      </c>
      <c r="G5" s="12" t="n">
        <v>-149.8</v>
      </c>
      <c r="H5" s="13">
        <f>F5+G5</f>
        <v/>
      </c>
      <c r="I5" s="10">
        <f>Assumptions!N16</f>
        <v/>
      </c>
      <c r="J5" s="14">
        <f>IF(I5&gt;0,H5*1000/I5,"n/a")</f>
        <v/>
      </c>
      <c r="K5" s="15" t="inlineStr">
        <is>
          <t>†</t>
        </is>
      </c>
    </row>
    <row r="6" ht="18" customHeight="1">
      <c r="A6" s="16" t="n">
        <v>2</v>
      </c>
      <c r="B6" s="17" t="inlineStr">
        <is>
          <t>AIC Mines Limited</t>
        </is>
      </c>
      <c r="C6" s="18" t="inlineStr">
        <is>
          <t>A1M</t>
        </is>
      </c>
      <c r="D6" s="19">
        <f>@IRESSRtd("Quote","13","0","A1M")</f>
        <v/>
      </c>
      <c r="E6" s="20" t="n">
        <v>798</v>
      </c>
      <c r="F6" s="21">
        <f>D6*E6</f>
        <v/>
      </c>
      <c r="G6" s="22" t="n">
        <v>14.2</v>
      </c>
      <c r="H6" s="23">
        <f>F6+G6</f>
        <v/>
      </c>
      <c r="I6" s="20">
        <f>Assumptions!N17</f>
        <v/>
      </c>
      <c r="J6" s="24">
        <f>IF(I6&gt;0,H6*1000/I6,"n/a")</f>
        <v/>
      </c>
      <c r="K6" s="25" t="inlineStr">
        <is>
          <t>‡</t>
        </is>
      </c>
    </row>
    <row r="7" ht="18" customHeight="1">
      <c r="A7" s="6" t="n">
        <v>3</v>
      </c>
      <c r="B7" s="26" t="inlineStr">
        <is>
          <t>Develop Global Limited</t>
        </is>
      </c>
      <c r="C7" s="8" t="inlineStr">
        <is>
          <t>DVP</t>
        </is>
      </c>
      <c r="D7" s="9">
        <f>@IRESSRtd("Quote","13","0","DVP")</f>
        <v/>
      </c>
      <c r="E7" s="10" t="n">
        <v>330</v>
      </c>
      <c r="F7" s="11">
        <f>D7*E7</f>
        <v/>
      </c>
      <c r="G7" s="12" t="n">
        <v>-22</v>
      </c>
      <c r="H7" s="13">
        <f>F7+G7</f>
        <v/>
      </c>
      <c r="I7" s="10">
        <f>Assumptions!N18</f>
        <v/>
      </c>
      <c r="J7" s="14">
        <f>IF(I7&gt;0,H7*1000/I7,"n/a")</f>
        <v/>
      </c>
      <c r="K7" s="15" t="inlineStr">
        <is>
          <t>‡</t>
        </is>
      </c>
    </row>
    <row r="8" ht="18" customHeight="1">
      <c r="A8" s="16" t="n">
        <v>4</v>
      </c>
      <c r="B8" s="27" t="inlineStr">
        <is>
          <t>29Metals Limited</t>
        </is>
      </c>
      <c r="C8" s="18" t="inlineStr">
        <is>
          <t>29M</t>
        </is>
      </c>
      <c r="D8" s="19">
        <f>@IRESSRtd("Quote","13","0","29M")</f>
        <v/>
      </c>
      <c r="E8" s="20" t="n">
        <v>1747.3</v>
      </c>
      <c r="F8" s="21">
        <f>D8*E8</f>
        <v/>
      </c>
      <c r="G8" s="22" t="n">
        <v>-48</v>
      </c>
      <c r="H8" s="23">
        <f>F8+G8</f>
        <v/>
      </c>
      <c r="I8" s="20">
        <f>Assumptions!N19</f>
        <v/>
      </c>
      <c r="J8" s="24">
        <f>IF(I8&gt;0,H8*1000/I8,"n/a")</f>
        <v/>
      </c>
      <c r="K8" s="25" t="inlineStr">
        <is>
          <t>‡</t>
        </is>
      </c>
    </row>
    <row r="9" ht="18" customHeight="1">
      <c r="A9" s="6" t="n">
        <v>5</v>
      </c>
      <c r="B9" s="26" t="inlineStr">
        <is>
          <t>Aurelia Metals Limited</t>
        </is>
      </c>
      <c r="C9" s="8" t="inlineStr">
        <is>
          <t>AMI</t>
        </is>
      </c>
      <c r="D9" s="9">
        <f>@IRESSRtd("Quote","13","0","AMI")</f>
        <v/>
      </c>
      <c r="E9" s="10" t="n">
        <v>1693</v>
      </c>
      <c r="F9" s="11">
        <f>D9*E9</f>
        <v/>
      </c>
      <c r="G9" s="12" t="n">
        <v>-86.09999999999999</v>
      </c>
      <c r="H9" s="13">
        <f>F9+G9</f>
        <v/>
      </c>
      <c r="I9" s="10">
        <f>Assumptions!N20</f>
        <v/>
      </c>
      <c r="J9" s="14">
        <f>IF(I9&gt;0,H9*1000/I9,"n/a")</f>
        <v/>
      </c>
      <c r="K9" s="15" t="inlineStr">
        <is>
          <t>‡</t>
        </is>
      </c>
    </row>
    <row r="10" ht="18" customHeight="1">
      <c r="A10" s="16" t="n">
        <v>6</v>
      </c>
      <c r="B10" s="27" t="inlineStr">
        <is>
          <t>Hillgrove Resources Limited</t>
        </is>
      </c>
      <c r="C10" s="18" t="inlineStr">
        <is>
          <t>HGO</t>
        </is>
      </c>
      <c r="D10" s="19">
        <f>@IRESSRtd("Quote","13","0","HGO")</f>
        <v/>
      </c>
      <c r="E10" s="20" t="n">
        <v>3410</v>
      </c>
      <c r="F10" s="21">
        <f>D10*E10</f>
        <v/>
      </c>
      <c r="G10" s="22" t="n">
        <v>-25.2</v>
      </c>
      <c r="H10" s="23">
        <f>F10+G10</f>
        <v/>
      </c>
      <c r="I10" s="20">
        <f>Assumptions!N21</f>
        <v/>
      </c>
      <c r="J10" s="24">
        <f>IF(I10&gt;0,H10*1000/I10,"n/a")</f>
        <v/>
      </c>
      <c r="K10" s="16" t="inlineStr"/>
    </row>
    <row r="11" ht="18" customHeight="1">
      <c r="A11" s="6" t="n">
        <v>7</v>
      </c>
      <c r="B11" s="26" t="inlineStr">
        <is>
          <t>Cyprium Metals Limited</t>
        </is>
      </c>
      <c r="C11" s="8" t="inlineStr">
        <is>
          <t>CYM</t>
        </is>
      </c>
      <c r="D11" s="9">
        <f>@IRESSRtd("Quote","13","0","CYM")</f>
        <v/>
      </c>
      <c r="E11" s="10" t="n">
        <v>492.2</v>
      </c>
      <c r="F11" s="11">
        <f>D11*E11</f>
        <v/>
      </c>
      <c r="G11" s="12" t="n">
        <v>-54.5</v>
      </c>
      <c r="H11" s="13">
        <f>F11+G11</f>
        <v/>
      </c>
      <c r="I11" s="10">
        <f>Assumptions!N22</f>
        <v/>
      </c>
      <c r="J11" s="14">
        <f>IF(I11&gt;0,H11*1000/I11,"n/a")</f>
        <v/>
      </c>
      <c r="K11" s="15" t="inlineStr">
        <is>
          <t>§</t>
        </is>
      </c>
    </row>
    <row r="12" ht="18" customHeight="1">
      <c r="A12" s="16" t="n">
        <v>8</v>
      </c>
      <c r="B12" s="27" t="inlineStr">
        <is>
          <t>Capstone Copper Corp.</t>
        </is>
      </c>
      <c r="C12" s="18" t="inlineStr">
        <is>
          <t>CSC</t>
        </is>
      </c>
      <c r="D12" s="19">
        <f>@IRESSRtd("Quote","13","0","CSC")</f>
        <v/>
      </c>
      <c r="E12" s="20" t="n">
        <v>763.7</v>
      </c>
      <c r="F12" s="21">
        <f>D12*E12</f>
        <v/>
      </c>
      <c r="G12" s="22" t="n">
        <v>1143</v>
      </c>
      <c r="H12" s="23">
        <f>F12+G12</f>
        <v/>
      </c>
      <c r="I12" s="20">
        <f>Assumptions!N23</f>
        <v/>
      </c>
      <c r="J12" s="24">
        <f>IF(I12&gt;0,H12*1000/I12,"n/a")</f>
        <v/>
      </c>
      <c r="K12" s="25" t="inlineStr">
        <is>
          <t>‡</t>
        </is>
      </c>
    </row>
    <row r="13" ht="18" customHeight="1">
      <c r="A13" s="6" t="n">
        <v>9</v>
      </c>
      <c r="B13" s="26" t="inlineStr">
        <is>
          <t>Sandfire Resources Limited</t>
        </is>
      </c>
      <c r="C13" s="8" t="inlineStr">
        <is>
          <t>SFR</t>
        </is>
      </c>
      <c r="D13" s="9">
        <f>@IRESSRtd("Quote","13","0","SFR")</f>
        <v/>
      </c>
      <c r="E13" s="10" t="n">
        <v>466.6</v>
      </c>
      <c r="F13" s="11">
        <f>D13*E13</f>
        <v/>
      </c>
      <c r="G13" s="12" t="n">
        <v>-76</v>
      </c>
      <c r="H13" s="13">
        <f>F13+G13</f>
        <v/>
      </c>
      <c r="I13" s="10">
        <f>Assumptions!N24</f>
        <v/>
      </c>
      <c r="J13" s="14">
        <f>IF(I13&gt;0,H13*1000/I13,"n/a")</f>
        <v/>
      </c>
      <c r="K13" s="15" t="inlineStr">
        <is>
          <t>†</t>
        </is>
      </c>
    </row>
    <row r="14">
      <c r="A14" s="28" t="n"/>
      <c r="B14" s="28" t="n"/>
      <c r="C14" s="28" t="n"/>
      <c r="D14" s="28" t="n"/>
      <c r="E14" s="28" t="n"/>
      <c r="F14" s="28" t="n"/>
      <c r="G14" s="28" t="n"/>
      <c r="H14" s="28" t="n"/>
      <c r="I14" s="28" t="n"/>
      <c r="J14" s="28" t="n"/>
      <c r="K14" s="28" t="n"/>
    </row>
    <row r="15" ht="4" customHeight="1"/>
    <row r="16" ht="14" customHeight="1">
      <c r="A16" s="29" t="inlineStr">
        <is>
          <t xml:space="preserve">  FOOTNOTES &amp; DISCLOSURE NOTES</t>
        </is>
      </c>
    </row>
    <row r="17" ht="14" customHeight="1">
      <c r="A17" s="30" t="inlineStr">
        <is>
          <t>⁽¹⁾  CuEq Guidance</t>
        </is>
      </c>
      <c r="B17" s="31" t="inlineStr">
        <is>
          <t>Guidance midpoints used. Polymetallic CuEq calculated using live IRESS spot prices (see Assumptions sheet, Section 2). Guidance ranges and data sources are detailed in the Assumptions sheet.</t>
        </is>
      </c>
    </row>
    <row r="18" ht="14" customHeight="1">
      <c r="A18" s="30" t="inlineStr">
        <is>
          <t>†  Company-disclosed CuEq</t>
        </is>
      </c>
      <c r="B18" s="31" t="inlineStr">
        <is>
          <t>AIS (40–49 kt, FY2026) and SFR (149–165 kt, FY2026): CuEq as disclosed by the company in quarterly activities reports. Each company's own price assumptions are embedded in those figures.</t>
        </is>
      </c>
    </row>
    <row r="19" ht="14" customHeight="1">
      <c r="A19" s="30" t="inlineStr">
        <is>
          <t>‡  Calculated CuEq</t>
        </is>
      </c>
      <c r="B19" s="31" t="inlineStr">
        <is>
          <t>A1M, DVP, 29M, AMI, CSC: CuEq calculated from individual metal production guidance midpoints using live IRESS spot prices (Copper COPNY.ID, Gold SPTGLD.IF, Silver SPTSLV.IF, Zinc ZINC.LME, Lead LEAD.LME). Figures will change in real-time as spot prices move.</t>
        </is>
      </c>
    </row>
    <row r="20" ht="14" customHeight="1">
      <c r="A20" s="30" t="inlineStr">
        <is>
          <t>§  Pre-production run-rate (CYM)</t>
        </is>
      </c>
      <c r="B20" s="31" t="inlineStr">
        <is>
          <t>Cyprium Metals is pre-production. Phase 1 Nifty SX-EW cathode restart is targeting first production in Q3 CY2026 at a run-rate of approximately 7,000 tpa Cu cathode. CuEq figure shown is the annualised Phase 1 run-rate, not FY2026 actual production. EV/CuEq for CYM should be interpreted as a development-stage multiple, not a producing-company multiple.</t>
        </is>
      </c>
    </row>
    <row r="21" ht="14" customHeight="1">
      <c r="A21" s="30" t="inlineStr">
        <is>
          <t>CSC note</t>
        </is>
      </c>
      <c r="B21" s="31" t="inlineStr">
        <is>
          <t>Capstone Copper Corp. is a Canadian company listed on ASX via CHESS Depository Interests (CDIs, 1:1 ratio). All financials are in USD converted to AUD at 0.645 (approximate implied rate at data sourcing). Capstone does not file ASX Appendix 5B; financial data is sourced from Canadian MD&amp;A (Q1 CY2026, 29-Apr-2026). Its scale (200–230 kt Cu guidance) is substantially larger than other peers in this table.</t>
        </is>
      </c>
    </row>
    <row r="22" ht="14" customHeight="1">
      <c r="A22" s="30" t="inlineStr">
        <is>
          <t>DVP note</t>
        </is>
      </c>
      <c r="B22" s="31" t="inlineStr">
        <is>
          <t>Develop Global's Woodlawn annual copper and zinc guidance figures are LOM run-rate estimates. Formal FY2026 annual Cu/Zn guidance in kt has not been published as a specific annual target. Pb and Ag co-product guidance is not quantified and has been excluded from the CuEq calculation.</t>
        </is>
      </c>
    </row>
    <row r="23" ht="14" customHeight="1">
      <c r="A23" s="30" t="inlineStr">
        <is>
          <t>Net (Cash)/Debt</t>
        </is>
      </c>
      <c r="B23" s="31" t="inlineStr">
        <is>
          <t>Shown using accounting convention: positive = net debt position; parenthetical (negative) = net cash position. Figures from most recent Appendix 5B quarterly cashflow report (March 2026 quarter). USD-denominated debt (29M: US$120M RCF; CYM: US$27.3M Nebari; CSC: US$1,131.8M) converted at 0.645 AUDUSD.</t>
        </is>
      </c>
    </row>
    <row r="24" ht="14" customHeight="1">
      <c r="A24" s="30" t="inlineStr">
        <is>
          <t>Data pull date</t>
        </is>
      </c>
      <c r="B24" s="31" t="inlineStr">
        <is>
          <t>Financial data and production guidance sourced from ASX announcements released April–May 2026 (reflecting March 2026 quarter). Share prices are live via IRESS RTD. Metal prices are live via IRESS RTD. This table refreshes automatically when IRESS is connected.</t>
        </is>
      </c>
    </row>
    <row r="26" ht="14" customHeight="1">
      <c r="A26" s="32" t="inlineStr">
        <is>
          <t xml:space="preserve">  LIVE METAL PRICE MONITOR  (via IRESS RTD)</t>
        </is>
      </c>
    </row>
    <row r="27" ht="18" customHeight="1">
      <c r="A27" s="33" t="inlineStr">
        <is>
          <t>Cu (USD/t)</t>
        </is>
      </c>
      <c r="B27" s="34">
        <f>@IRESSRtd("Quote","13","0","COPNY.ID")</f>
        <v/>
      </c>
      <c r="C27" s="33" t="inlineStr">
        <is>
          <t>Au (USD/oz)</t>
        </is>
      </c>
      <c r="D27" s="34">
        <f>@IRESSRtd("Quote","13","0","SPTGLD.IF")</f>
        <v/>
      </c>
      <c r="E27" s="33" t="inlineStr">
        <is>
          <t>Ag (USD/oz)</t>
        </is>
      </c>
      <c r="F27" s="35">
        <f>@IRESSRtd("Quote","13","0","SPTSLV.IF")</f>
        <v/>
      </c>
      <c r="G27" s="33" t="inlineStr">
        <is>
          <t>Zn (USD/t)</t>
        </is>
      </c>
      <c r="H27" s="34">
        <f>@IRESSRtd("Quote","13","0","ZINC.LME")</f>
        <v/>
      </c>
      <c r="I27" s="33" t="inlineStr">
        <is>
          <t>Pb (USD/t)</t>
        </is>
      </c>
      <c r="J27" s="36" t="inlineStr">
        <is>
          <t>AUD/USD</t>
        </is>
      </c>
      <c r="K27" s="37">
        <f>@IRESSRtd("Quote","13","0","AUDUSD.FX")</f>
        <v/>
      </c>
    </row>
  </sheetData>
  <mergeCells count="12">
    <mergeCell ref="B23:K23"/>
    <mergeCell ref="B22:K22"/>
    <mergeCell ref="A26:K26"/>
    <mergeCell ref="B17:K17"/>
    <mergeCell ref="B18:K18"/>
    <mergeCell ref="B21:K21"/>
    <mergeCell ref="A2:K2"/>
    <mergeCell ref="A16:K16"/>
    <mergeCell ref="B24:K24"/>
    <mergeCell ref="B20:K20"/>
    <mergeCell ref="A1:K1"/>
    <mergeCell ref="B19:K1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2E75B6"/>
    <outlinePr summaryBelow="1" summaryRight="1"/>
    <pageSetUpPr/>
  </sheetPr>
  <dimension ref="A1:P52"/>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3" customWidth="1" min="12" max="12"/>
    <col width="13" customWidth="1" min="13" max="13"/>
    <col width="13" customWidth="1" min="14" max="14"/>
    <col width="6" customWidth="1" min="15" max="15"/>
    <col width="60" customWidth="1" min="16" max="16"/>
  </cols>
  <sheetData>
    <row r="1" ht="22" customHeight="1">
      <c r="A1" s="38" t="inlineStr">
        <is>
          <t>ASSUMPTIONS, CuEq CALCULATIONS &amp; DATA SOURCES</t>
        </is>
      </c>
    </row>
    <row r="2" ht="14" customHeight="1">
      <c r="A2" s="39" t="inlineStr">
        <is>
          <t>ASX Copper &amp; Base Metals Comps | Data sourced from ASX company announcements (asx.com.au)</t>
        </is>
      </c>
    </row>
    <row r="3" ht="16" customHeight="1">
      <c r="A3" s="40" t="inlineStr">
        <is>
          <t xml:space="preserve">  SECTION 1 — METAL PRICE ASSUMPTIONS  (live via IRESS RTD)</t>
        </is>
      </c>
    </row>
    <row r="4">
      <c r="A4" s="41" t="inlineStr">
        <is>
          <t>Metal</t>
        </is>
      </c>
      <c r="B4" s="41" t="inlineStr">
        <is>
          <t>IRESS Symbol</t>
        </is>
      </c>
      <c r="C4" s="41" t="inlineStr">
        <is>
          <t>Live Price</t>
        </is>
      </c>
      <c r="D4" s="41" t="inlineStr">
        <is>
          <t>Unit</t>
        </is>
      </c>
      <c r="E4" s="41" t="inlineStr">
        <is>
          <t>Notes / Description</t>
        </is>
      </c>
    </row>
    <row r="5">
      <c r="A5" s="42" t="inlineStr">
        <is>
          <t>Copper</t>
        </is>
      </c>
      <c r="B5" s="43" t="inlineStr">
        <is>
          <t>COPNY.ID</t>
        </is>
      </c>
      <c r="C5" s="44">
        <f>@IRESSRtd("Quote","13","0","COPNY.ID")</f>
        <v/>
      </c>
      <c r="D5" s="43" t="inlineStr">
        <is>
          <t>USD/t</t>
        </is>
      </c>
      <c r="E5" s="45" t="inlineStr">
        <is>
          <t>LME Copper (Grade A)</t>
        </is>
      </c>
    </row>
    <row r="6">
      <c r="A6" s="46" t="inlineStr">
        <is>
          <t>Gold</t>
        </is>
      </c>
      <c r="B6" s="47" t="inlineStr">
        <is>
          <t>SPTGLD.IF</t>
        </is>
      </c>
      <c r="C6" s="48">
        <f>@IRESSRtd("Quote","13","0","SPTGLD.IF")</f>
        <v/>
      </c>
      <c r="D6" s="47" t="inlineStr">
        <is>
          <t>USD/oz</t>
        </is>
      </c>
      <c r="E6" s="49" t="inlineStr">
        <is>
          <t>Spot Gold (LBMA PM fix)</t>
        </is>
      </c>
    </row>
    <row r="7">
      <c r="A7" s="42" t="inlineStr">
        <is>
          <t>Silver</t>
        </is>
      </c>
      <c r="B7" s="43" t="inlineStr">
        <is>
          <t>SPTSLV.IF</t>
        </is>
      </c>
      <c r="C7" s="50">
        <f>@IRESSRtd("Quote","13","0","SPTSLV.IF")</f>
        <v/>
      </c>
      <c r="D7" s="43" t="inlineStr">
        <is>
          <t>USD/oz</t>
        </is>
      </c>
      <c r="E7" s="45" t="inlineStr">
        <is>
          <t>Spot Silver</t>
        </is>
      </c>
    </row>
    <row r="8">
      <c r="A8" s="46" t="inlineStr">
        <is>
          <t>Zinc</t>
        </is>
      </c>
      <c r="B8" s="47" t="inlineStr">
        <is>
          <t>ZINC.LME</t>
        </is>
      </c>
      <c r="C8" s="48">
        <f>@IRESSRtd("Quote","13","0","ZINC.LME")</f>
        <v/>
      </c>
      <c r="D8" s="47" t="inlineStr">
        <is>
          <t>USD/t</t>
        </is>
      </c>
      <c r="E8" s="49" t="inlineStr">
        <is>
          <t>LME Cash Zinc</t>
        </is>
      </c>
    </row>
    <row r="9">
      <c r="A9" s="42" t="inlineStr">
        <is>
          <t>Lead</t>
        </is>
      </c>
      <c r="B9" s="43" t="inlineStr">
        <is>
          <t>LEAD.LME</t>
        </is>
      </c>
      <c r="C9" s="44">
        <f>@IRESSRtd("Quote","13","0","LEAD.LME")</f>
        <v/>
      </c>
      <c r="D9" s="43" t="inlineStr">
        <is>
          <t>USD/t</t>
        </is>
      </c>
      <c r="E9" s="45" t="inlineStr">
        <is>
          <t>LME Cash Lead</t>
        </is>
      </c>
    </row>
    <row r="10">
      <c r="A10" s="46" t="inlineStr">
        <is>
          <t>AUD/USD</t>
        </is>
      </c>
      <c r="B10" s="47" t="inlineStr">
        <is>
          <t>AUDUSD.FX</t>
        </is>
      </c>
      <c r="C10" s="51">
        <f>@IRESSRtd("Quote","13","0","AUDUSD.FX")</f>
        <v/>
      </c>
      <c r="D10" s="47" t="inlineStr">
        <is>
          <t>AUD/USD</t>
        </is>
      </c>
      <c r="E10" s="49" t="inlineStr">
        <is>
          <t>Spot FX – used for USD→AUD conversion</t>
        </is>
      </c>
    </row>
    <row r="12" ht="6" customHeight="1"/>
    <row r="13" ht="16" customHeight="1">
      <c r="A13" s="40" t="inlineStr">
        <is>
          <t xml:space="preserve">  SECTION 2 — CuEq PRODUCTION CALCULATIONS</t>
        </is>
      </c>
    </row>
    <row r="14" ht="30" customHeight="1">
      <c r="A14" s="52" t="inlineStr">
        <is>
          <t>CuEq methodology: CuEq (kt) = Cu_kt + Σ [ By-product_guidance × by-product_price / copper_price ]  |  Gold &amp; Silver in koz (×1,000 oz/koz); Cu, Zn, Pb prices in USD/t; Au, Ag prices in USD/oz  |  Units resolve to kt: (koz × USD/oz) / (USD/t) = kt  |  † Company-disclosed CuEq used (col M).  ‡ Calculated from components (col L).  § Pre-production annualised run-rate.</t>
        </is>
      </c>
    </row>
    <row r="15" ht="30" customHeight="1">
      <c r="A15" s="53" t="inlineStr">
        <is>
          <t>Ticker</t>
        </is>
      </c>
      <c r="B15" s="53" t="inlineStr">
        <is>
          <t>Cu Guide
(kt mid)</t>
        </is>
      </c>
      <c r="C15" s="53" t="inlineStr">
        <is>
          <t>Au Guide
(koz mid)</t>
        </is>
      </c>
      <c r="D15" s="53" t="inlineStr">
        <is>
          <t>Ag Guide
(koz mid)</t>
        </is>
      </c>
      <c r="E15" s="53" t="inlineStr">
        <is>
          <t>Zn Guide
(kt mid)</t>
        </is>
      </c>
      <c r="F15" s="53" t="inlineStr">
        <is>
          <t>Pb Guide
(kt mid)</t>
        </is>
      </c>
      <c r="G15" s="53" t="inlineStr">
        <is>
          <t>Cu→CuEq
(kt)</t>
        </is>
      </c>
      <c r="H15" s="53" t="inlineStr">
        <is>
          <t>Au→CuEq
(kt)</t>
        </is>
      </c>
      <c r="I15" s="53" t="inlineStr">
        <is>
          <t>Ag→CuEq
(kt)</t>
        </is>
      </c>
      <c r="J15" s="53" t="inlineStr">
        <is>
          <t>Zn→CuEq
(kt)</t>
        </is>
      </c>
      <c r="K15" s="53" t="inlineStr">
        <is>
          <t>Pb→CuEq
(kt)</t>
        </is>
      </c>
      <c r="L15" s="53" t="inlineStr">
        <is>
          <t>CALC
CuEq (kt)</t>
        </is>
      </c>
      <c r="M15" s="53" t="inlineStr">
        <is>
          <t>DISC
CuEq (kt)</t>
        </is>
      </c>
      <c r="N15" s="53" t="inlineStr">
        <is>
          <t>CuEq USED
(kt)</t>
        </is>
      </c>
      <c r="O15" s="53" t="inlineStr">
        <is>
          <t>Flag</t>
        </is>
      </c>
      <c r="P15" s="53" t="inlineStr">
        <is>
          <t>Guidance Source</t>
        </is>
      </c>
    </row>
    <row r="16" ht="28" customHeight="1">
      <c r="A16" s="42" t="inlineStr">
        <is>
          <t>AIS</t>
        </is>
      </c>
      <c r="B16" s="54" t="n">
        <v>26.5</v>
      </c>
      <c r="C16" s="54" t="n">
        <v>41</v>
      </c>
      <c r="D16" s="54" t="n">
        <v>0</v>
      </c>
      <c r="E16" s="54" t="n">
        <v>0</v>
      </c>
      <c r="F16" s="54" t="n">
        <v>0</v>
      </c>
      <c r="G16" s="54">
        <f>B16</f>
        <v/>
      </c>
      <c r="H16" s="54">
        <f>C16*$C$6/$C$5</f>
        <v/>
      </c>
      <c r="I16" s="54">
        <f>D16*$C$7/$C$5</f>
        <v/>
      </c>
      <c r="J16" s="54">
        <f>E16*$C$8/$C$5</f>
        <v/>
      </c>
      <c r="K16" s="54">
        <f>F16*$C$9/$C$5</f>
        <v/>
      </c>
      <c r="L16" s="55">
        <f>SUM(G16:K16)</f>
        <v/>
      </c>
      <c r="M16" s="54" t="n">
        <v>44.5</v>
      </c>
      <c r="N16" s="56">
        <f>IF(M16&gt;0,M16,L16)</f>
        <v/>
      </c>
      <c r="O16" s="43" t="inlineStr">
        <is>
          <t>†</t>
        </is>
      </c>
      <c r="P16" s="57" t="inlineStr">
        <is>
          <t>FY2026 production guidance (40–49 kt CuEq); Q3 FY26 Quarterly Activities Report, Apr-2026</t>
        </is>
      </c>
    </row>
    <row r="17" ht="28" customHeight="1">
      <c r="A17" s="46" t="inlineStr">
        <is>
          <t>A1M</t>
        </is>
      </c>
      <c r="B17" s="58" t="n">
        <v>13</v>
      </c>
      <c r="C17" s="58" t="n">
        <v>6.25</v>
      </c>
      <c r="D17" s="58" t="n">
        <v>0</v>
      </c>
      <c r="E17" s="58" t="n">
        <v>0</v>
      </c>
      <c r="F17" s="58" t="n">
        <v>0</v>
      </c>
      <c r="G17" s="58">
        <f>B17</f>
        <v/>
      </c>
      <c r="H17" s="58">
        <f>C17*$C$6/$C$5</f>
        <v/>
      </c>
      <c r="I17" s="58">
        <f>D17*$C$7/$C$5</f>
        <v/>
      </c>
      <c r="J17" s="58">
        <f>E17*$C$8/$C$5</f>
        <v/>
      </c>
      <c r="K17" s="58">
        <f>F17*$C$9/$C$5</f>
        <v/>
      </c>
      <c r="L17" s="59">
        <f>SUM(G17:K17)</f>
        <v/>
      </c>
      <c r="M17" s="58" t="n"/>
      <c r="N17" s="56">
        <f>IF(M17&gt;0,M17,L17)</f>
        <v/>
      </c>
      <c r="O17" s="47" t="inlineStr">
        <is>
          <t>‡</t>
        </is>
      </c>
      <c r="P17" s="60" t="inlineStr">
        <is>
          <t>FY2026 guidance (12,800–13,200 t Cu + 6,000–6,500 oz Au); Q3 FY26 Quarterly, Apr-2026</t>
        </is>
      </c>
    </row>
    <row r="18" ht="28" customHeight="1">
      <c r="A18" s="42" t="inlineStr">
        <is>
          <t>DVP</t>
        </is>
      </c>
      <c r="B18" s="54" t="n">
        <v>10</v>
      </c>
      <c r="C18" s="54" t="n">
        <v>0</v>
      </c>
      <c r="D18" s="54" t="n">
        <v>0</v>
      </c>
      <c r="E18" s="54" t="n">
        <v>30</v>
      </c>
      <c r="F18" s="54" t="n">
        <v>0</v>
      </c>
      <c r="G18" s="54">
        <f>B18</f>
        <v/>
      </c>
      <c r="H18" s="54">
        <f>C18*$C$6/$C$5</f>
        <v/>
      </c>
      <c r="I18" s="54">
        <f>D18*$C$7/$C$5</f>
        <v/>
      </c>
      <c r="J18" s="54">
        <f>E18*$C$8/$C$5</f>
        <v/>
      </c>
      <c r="K18" s="54">
        <f>F18*$C$9/$C$5</f>
        <v/>
      </c>
      <c r="L18" s="55">
        <f>SUM(G18:K18)</f>
        <v/>
      </c>
      <c r="M18" s="54" t="n"/>
      <c r="N18" s="56">
        <f>IF(M18&gt;0,M18,L18)</f>
        <v/>
      </c>
      <c r="O18" s="43" t="inlineStr">
        <is>
          <t>‡</t>
        </is>
      </c>
      <c r="P18" s="57" t="inlineStr">
        <is>
          <t>Woodlawn LOM run-rate (~10 ktpa Cu, ~30 ktpa Zn); FY2026 specific annual guidance not formally published; Q3 FY26 Quarterly, Apr-2026</t>
        </is>
      </c>
    </row>
    <row r="19" ht="28" customHeight="1">
      <c r="A19" s="46" t="inlineStr">
        <is>
          <t>29M</t>
        </is>
      </c>
      <c r="B19" s="58" t="n">
        <v>22</v>
      </c>
      <c r="C19" s="58" t="n">
        <v>10</v>
      </c>
      <c r="D19" s="58" t="n">
        <v>500</v>
      </c>
      <c r="E19" s="58" t="n">
        <v>15</v>
      </c>
      <c r="F19" s="58" t="n">
        <v>0</v>
      </c>
      <c r="G19" s="58">
        <f>B19</f>
        <v/>
      </c>
      <c r="H19" s="58">
        <f>C19*$C$6/$C$5</f>
        <v/>
      </c>
      <c r="I19" s="58">
        <f>D19*$C$7/$C$5</f>
        <v/>
      </c>
      <c r="J19" s="58">
        <f>E19*$C$8/$C$5</f>
        <v/>
      </c>
      <c r="K19" s="58">
        <f>F19*$C$9/$C$5</f>
        <v/>
      </c>
      <c r="L19" s="59">
        <f>SUM(G19:K19)</f>
        <v/>
      </c>
      <c r="M19" s="58" t="n"/>
      <c r="N19" s="56">
        <f>IF(M19&gt;0,M19,L19)</f>
        <v/>
      </c>
      <c r="O19" s="47" t="inlineStr">
        <is>
          <t>‡</t>
        </is>
      </c>
      <c r="P19" s="60" t="inlineStr">
        <is>
          <t>Revised FY2026 guidance; Q1 CY26 Quarterly, Apr-2026 (Cu 20–24 kt; Zn 5–25 kt; Au 6–14 koz; Ag 400–600 koz)</t>
        </is>
      </c>
    </row>
    <row r="20" ht="28" customHeight="1">
      <c r="A20" s="42" t="inlineStr">
        <is>
          <t>AMI</t>
        </is>
      </c>
      <c r="B20" s="54" t="n">
        <v>2.75</v>
      </c>
      <c r="C20" s="54" t="n">
        <v>47.5</v>
      </c>
      <c r="D20" s="54" t="n">
        <v>0</v>
      </c>
      <c r="E20" s="54" t="n">
        <v>28</v>
      </c>
      <c r="F20" s="54" t="n">
        <v>18</v>
      </c>
      <c r="G20" s="54">
        <f>B20</f>
        <v/>
      </c>
      <c r="H20" s="54">
        <f>C20*$C$6/$C$5</f>
        <v/>
      </c>
      <c r="I20" s="54">
        <f>D20*$C$7/$C$5</f>
        <v/>
      </c>
      <c r="J20" s="54">
        <f>E20*$C$8/$C$5</f>
        <v/>
      </c>
      <c r="K20" s="54">
        <f>F20*$C$9/$C$5</f>
        <v/>
      </c>
      <c r="L20" s="55">
        <f>SUM(G20:K20)</f>
        <v/>
      </c>
      <c r="M20" s="54" t="n"/>
      <c r="N20" s="56">
        <f>IF(M20&gt;0,M20,L20)</f>
        <v/>
      </c>
      <c r="O20" s="43" t="inlineStr">
        <is>
          <t>‡</t>
        </is>
      </c>
      <c r="P20" s="57" t="inlineStr">
        <is>
          <t>Upgraded FY2026 guidance; Q3 FY26 Quarterly, Apr-2026 (Cu 2.5–3.0 kt; Au 45–50 koz; Zn 24–32 kt; Pb 14–22 kt)</t>
        </is>
      </c>
    </row>
    <row r="21" ht="28" customHeight="1">
      <c r="A21" s="46" t="inlineStr">
        <is>
          <t>HGO</t>
        </is>
      </c>
      <c r="B21" s="58" t="n">
        <v>13.375</v>
      </c>
      <c r="C21" s="58" t="n">
        <v>0</v>
      </c>
      <c r="D21" s="58" t="n">
        <v>0</v>
      </c>
      <c r="E21" s="58" t="n">
        <v>0</v>
      </c>
      <c r="F21" s="58" t="n">
        <v>0</v>
      </c>
      <c r="G21" s="58">
        <f>B21</f>
        <v/>
      </c>
      <c r="H21" s="58">
        <f>C21*$C$6/$C$5</f>
        <v/>
      </c>
      <c r="I21" s="58">
        <f>D21*$C$7/$C$5</f>
        <v/>
      </c>
      <c r="J21" s="58">
        <f>E21*$C$8/$C$5</f>
        <v/>
      </c>
      <c r="K21" s="58">
        <f>F21*$C$9/$C$5</f>
        <v/>
      </c>
      <c r="L21" s="59">
        <f>SUM(G21:K21)</f>
        <v/>
      </c>
      <c r="M21" s="58" t="n"/>
      <c r="N21" s="56">
        <f>IF(M21&gt;0,M21,L21)</f>
        <v/>
      </c>
      <c r="O21" s="47" t="inlineStr"/>
      <c r="P21" s="60" t="inlineStr">
        <is>
          <t>CY2026 guidance (12,750–14,000 t Cu); Q4 CY25 Quarterly Activities Report, Jan-2026</t>
        </is>
      </c>
    </row>
    <row r="22" ht="28" customHeight="1">
      <c r="A22" s="42" t="inlineStr">
        <is>
          <t>CYM</t>
        </is>
      </c>
      <c r="B22" s="54" t="n">
        <v>0</v>
      </c>
      <c r="C22" s="54" t="n">
        <v>0</v>
      </c>
      <c r="D22" s="54" t="n">
        <v>0</v>
      </c>
      <c r="E22" s="54" t="n">
        <v>0</v>
      </c>
      <c r="F22" s="54" t="n">
        <v>0</v>
      </c>
      <c r="G22" s="54">
        <f>B22</f>
        <v/>
      </c>
      <c r="H22" s="54">
        <f>C22*$C$6/$C$5</f>
        <v/>
      </c>
      <c r="I22" s="54">
        <f>D22*$C$7/$C$5</f>
        <v/>
      </c>
      <c r="J22" s="54">
        <f>E22*$C$8/$C$5</f>
        <v/>
      </c>
      <c r="K22" s="54">
        <f>F22*$C$9/$C$5</f>
        <v/>
      </c>
      <c r="L22" s="55">
        <f>SUM(G22:K22)</f>
        <v/>
      </c>
      <c r="M22" s="54" t="n">
        <v>7</v>
      </c>
      <c r="N22" s="56">
        <f>IF(M22&gt;0,M22,L22)</f>
        <v/>
      </c>
      <c r="O22" s="43" t="inlineStr">
        <is>
          <t>§</t>
        </is>
      </c>
      <c r="P22" s="57" t="inlineStr">
        <is>
          <t>Phase 1 Nifty Copper Complex restart targeting Q3 CY26; run-rate ~7 ktpa Cu cathode; Q1 CY26 Quarterly, Apr-2026</t>
        </is>
      </c>
    </row>
    <row r="23" ht="28" customHeight="1">
      <c r="A23" s="46" t="inlineStr">
        <is>
          <t>CSC</t>
        </is>
      </c>
      <c r="B23" s="58" t="n">
        <v>215</v>
      </c>
      <c r="C23" s="58" t="n">
        <v>0</v>
      </c>
      <c r="D23" s="58" t="n">
        <v>0</v>
      </c>
      <c r="E23" s="58" t="n">
        <v>0</v>
      </c>
      <c r="F23" s="58" t="n">
        <v>0</v>
      </c>
      <c r="G23" s="58">
        <f>B23</f>
        <v/>
      </c>
      <c r="H23" s="58">
        <f>C23*$C$6/$C$5</f>
        <v/>
      </c>
      <c r="I23" s="58">
        <f>D23*$C$7/$C$5</f>
        <v/>
      </c>
      <c r="J23" s="58">
        <f>E23*$C$8/$C$5</f>
        <v/>
      </c>
      <c r="K23" s="58">
        <f>F23*$C$9/$C$5</f>
        <v/>
      </c>
      <c r="L23" s="59">
        <f>SUM(G23:K23)</f>
        <v/>
      </c>
      <c r="M23" s="58" t="n"/>
      <c r="N23" s="56">
        <f>IF(M23&gt;0,M23,L23)</f>
        <v/>
      </c>
      <c r="O23" s="47" t="inlineStr">
        <is>
          <t>‡</t>
        </is>
      </c>
      <c r="P23" s="60" t="inlineStr">
        <is>
          <t>CY2026 production guidance (200–230 kt Cu); Q1 CY26 Results, 29-Apr-2026 (Pinto Valley AZ + Cozamin MX + Mantos Blancos CL + Mantoverde CL)</t>
        </is>
      </c>
    </row>
    <row r="24" ht="28" customHeight="1">
      <c r="A24" s="42" t="inlineStr">
        <is>
          <t>SFR</t>
        </is>
      </c>
      <c r="B24" s="54" t="n">
        <v>0</v>
      </c>
      <c r="C24" s="54" t="n">
        <v>0</v>
      </c>
      <c r="D24" s="54" t="n">
        <v>0</v>
      </c>
      <c r="E24" s="54" t="n">
        <v>0</v>
      </c>
      <c r="F24" s="54" t="n">
        <v>0</v>
      </c>
      <c r="G24" s="54">
        <f>B24</f>
        <v/>
      </c>
      <c r="H24" s="54">
        <f>C24*$C$6/$C$5</f>
        <v/>
      </c>
      <c r="I24" s="54">
        <f>D24*$C$7/$C$5</f>
        <v/>
      </c>
      <c r="J24" s="54">
        <f>E24*$C$8/$C$5</f>
        <v/>
      </c>
      <c r="K24" s="54">
        <f>F24*$C$9/$C$5</f>
        <v/>
      </c>
      <c r="L24" s="55">
        <f>SUM(G24:K24)</f>
        <v/>
      </c>
      <c r="M24" s="54" t="n">
        <v>157</v>
      </c>
      <c r="N24" s="56">
        <f>IF(M24&gt;0,M24,L24)</f>
        <v/>
      </c>
      <c r="O24" s="43" t="inlineStr">
        <is>
          <t>†</t>
        </is>
      </c>
      <c r="P24" s="57" t="inlineStr">
        <is>
          <t>FY2026 guidance (149–165 kt CuEq; guiding to lower half); Q3 FY26 Quarterly, 23-Apr-2026 (MATSA Spain + Motheo Botswana)</t>
        </is>
      </c>
    </row>
    <row r="27" ht="6" customHeight="1"/>
    <row r="28" ht="16" customHeight="1">
      <c r="A28" s="40" t="inlineStr">
        <is>
          <t xml:space="preserve">  SECTION 3 — DATA SOURCES</t>
        </is>
      </c>
    </row>
    <row r="29" ht="20" customHeight="1">
      <c r="A29" s="52" t="inlineStr">
        <is>
          <t>All data sourced from ASX company announcements (asx.com.au) and company investor relations pages.  All figures in A$M unless noted.  USD-denominated items converted at 0.645 AUDUSD (implied rate at sourcing).</t>
        </is>
      </c>
    </row>
    <row r="30" ht="14" customHeight="1">
      <c r="A30" s="29" t="inlineStr">
        <is>
          <t>3A. SHARES ON ISSUE</t>
        </is>
      </c>
    </row>
    <row r="31" ht="18" customHeight="1">
      <c r="A31" s="61" t="inlineStr">
        <is>
          <t>AIS</t>
        </is>
      </c>
      <c r="B31" s="62" t="inlineStr">
        <is>
          <t>Aeris Resources Limited</t>
        </is>
      </c>
      <c r="C31" s="63" t="n">
        <v>1197.168782</v>
      </c>
      <c r="D31" s="64" t="inlineStr">
        <is>
          <t>Confirmed: 1,197,168,782 shares on issue</t>
        </is>
      </c>
      <c r="E31" s="65" t="n"/>
      <c r="F31" s="66" t="n"/>
    </row>
    <row r="32" ht="18" customHeight="1">
      <c r="A32" s="46" t="inlineStr">
        <is>
          <t>A1M</t>
        </is>
      </c>
      <c r="B32" s="49" t="inlineStr">
        <is>
          <t>AIC Mines Limited</t>
        </is>
      </c>
      <c r="C32" s="58" t="n">
        <v>798</v>
      </c>
      <c r="D32" s="60" t="inlineStr">
        <is>
          <t>Q3 FY26 Quarterly Report (797.6M at 28-Mar-26), Apr-2026</t>
        </is>
      </c>
    </row>
    <row r="33" ht="18" customHeight="1">
      <c r="A33" s="61" t="inlineStr">
        <is>
          <t>DVP</t>
        </is>
      </c>
      <c r="B33" s="62" t="inlineStr">
        <is>
          <t>Develop Global Limited</t>
        </is>
      </c>
      <c r="C33" s="63" t="n">
        <v>330</v>
      </c>
      <c r="D33" s="64" t="inlineStr">
        <is>
          <t>Q3 FY26 Quarterly / market data, Apr-2026 (~329.99M shares)</t>
        </is>
      </c>
    </row>
    <row r="34" ht="18" customHeight="1">
      <c r="A34" s="46" t="inlineStr">
        <is>
          <t>29M</t>
        </is>
      </c>
      <c r="B34" s="49" t="inlineStr">
        <is>
          <t>29Metals Limited</t>
        </is>
      </c>
      <c r="C34" s="58" t="n">
        <v>1747.3</v>
      </c>
      <c r="D34" s="60" t="inlineStr">
        <is>
          <t>Post-entitlement offer (374.95M new shares Feb-2026); Q1 CY26 Quarterly, Apr-2026</t>
        </is>
      </c>
    </row>
    <row r="35" ht="18" customHeight="1">
      <c r="A35" s="61" t="inlineStr">
        <is>
          <t>AMI</t>
        </is>
      </c>
      <c r="B35" s="62" t="inlineStr">
        <is>
          <t>Aurelia Metals Limited</t>
        </is>
      </c>
      <c r="C35" s="63" t="n">
        <v>1693</v>
      </c>
      <c r="D35" s="64" t="inlineStr">
        <is>
          <t>Q3 FY26 Quarterly / market data, Apr-2026</t>
        </is>
      </c>
    </row>
    <row r="36" ht="18" customHeight="1">
      <c r="A36" s="46" t="inlineStr">
        <is>
          <t>HGO</t>
        </is>
      </c>
      <c r="B36" s="49" t="inlineStr">
        <is>
          <t>Hillgrove Resources Limited</t>
        </is>
      </c>
      <c r="C36" s="58" t="n">
        <v>3410</v>
      </c>
      <c r="D36" s="60" t="inlineStr">
        <is>
          <t>Q1 CY26 Quarterly / market data, Apr-2026</t>
        </is>
      </c>
    </row>
    <row r="37" ht="18" customHeight="1">
      <c r="A37" s="61" t="inlineStr">
        <is>
          <t>CYM</t>
        </is>
      </c>
      <c r="B37" s="62" t="inlineStr">
        <is>
          <t>Cyprium Metals Limited</t>
        </is>
      </c>
      <c r="C37" s="63" t="n">
        <v>492.2</v>
      </c>
      <c r="D37" s="64" t="inlineStr">
        <is>
          <t>Q1 CY26 Quarterly; post A$80M placement + A$41M further raise; post 1:10 consolidation Oct-2025; Apr-2026</t>
        </is>
      </c>
    </row>
    <row r="38" ht="18" customHeight="1">
      <c r="A38" s="46" t="inlineStr">
        <is>
          <t>CSC</t>
        </is>
      </c>
      <c r="B38" s="49" t="inlineStr">
        <is>
          <t>Capstone Copper Corp.</t>
        </is>
      </c>
      <c r="C38" s="58" t="n">
        <v>763.7</v>
      </c>
      <c r="D38" s="60" t="inlineStr">
        <is>
          <t>Q1 CY26 MD&amp;A (Canadian disclosure), 29-Apr-2026</t>
        </is>
      </c>
    </row>
    <row r="39" ht="18" customHeight="1">
      <c r="A39" s="61" t="inlineStr">
        <is>
          <t>SFR</t>
        </is>
      </c>
      <c r="B39" s="62" t="inlineStr">
        <is>
          <t>Sandfire Resources Limited</t>
        </is>
      </c>
      <c r="C39" s="63" t="n">
        <v>466.6</v>
      </c>
      <c r="D39" s="64" t="inlineStr">
        <is>
          <t>Q3 FY26 Quarterly (466.58M at 28-Mar-26), 23-Apr-2026</t>
        </is>
      </c>
    </row>
    <row r="42" ht="14" customHeight="1">
      <c r="A42" s="29" t="inlineStr">
        <is>
          <t>3B. NET CASH / (DEBT) — MOST RECENT QUARTERLY (APP 5B OR EQUIVALENT)</t>
        </is>
      </c>
    </row>
    <row r="43">
      <c r="A43" s="67" t="inlineStr">
        <is>
          <t>Ticker</t>
        </is>
      </c>
      <c r="B43" s="67" t="inlineStr">
        <is>
          <t>Company</t>
        </is>
      </c>
      <c r="C43" s="67" t="inlineStr">
        <is>
          <t>Cash (A$M)</t>
        </is>
      </c>
      <c r="D43" s="67" t="inlineStr">
        <is>
          <t>Debt (A$M)</t>
        </is>
      </c>
      <c r="E43" s="67" t="inlineStr">
        <is>
          <t>Net (Cash)/Debt (A$M)</t>
        </is>
      </c>
      <c r="F43" s="67" t="inlineStr">
        <is>
          <t>Qtr End</t>
        </is>
      </c>
      <c r="G43" s="67" t="inlineStr">
        <is>
          <t>Source</t>
        </is>
      </c>
    </row>
    <row r="44" ht="22" customHeight="1">
      <c r="A44" s="61" t="inlineStr">
        <is>
          <t>AIS</t>
        </is>
      </c>
      <c r="B44" s="62" t="inlineStr">
        <is>
          <t>Aeris Resources Limited</t>
        </is>
      </c>
      <c r="C44" s="68" t="n">
        <v>149.8</v>
      </c>
      <c r="D44" s="68" t="n">
        <v>0</v>
      </c>
      <c r="E44" s="69" t="n">
        <v>-149.8</v>
      </c>
      <c r="F44" s="70" t="inlineStr">
        <is>
          <t>31-Mar-26</t>
        </is>
      </c>
      <c r="G44" s="64" t="inlineStr">
        <is>
          <t>Debt-free from Dec-2025. Tritton Cu mine (NSW) + Cracow Au mine (Qld).</t>
        </is>
      </c>
    </row>
    <row r="45" ht="22" customHeight="1">
      <c r="A45" s="46" t="inlineStr">
        <is>
          <t>A1M</t>
        </is>
      </c>
      <c r="B45" s="49" t="inlineStr">
        <is>
          <t>AIC Mines Limited</t>
        </is>
      </c>
      <c r="C45" s="71" t="n">
        <v>31.1</v>
      </c>
      <c r="D45" s="71" t="n">
        <v>45.3</v>
      </c>
      <c r="E45" s="72" t="n">
        <v>14.2</v>
      </c>
      <c r="F45" s="47" t="inlineStr">
        <is>
          <t>31-Mar-26</t>
        </is>
      </c>
      <c r="G45" s="60" t="inlineStr">
        <is>
          <t>Eloise Cu mine (NW Qld). Q3 cash depressed – A$8.3M concentrate on-site, shipped Apr. Trafigura facility A$45.3M.</t>
        </is>
      </c>
    </row>
    <row r="46" ht="22" customHeight="1">
      <c r="A46" s="61" t="inlineStr">
        <is>
          <t>DVP</t>
        </is>
      </c>
      <c r="B46" s="62" t="inlineStr">
        <is>
          <t>Develop Global Limited</t>
        </is>
      </c>
      <c r="C46" s="68" t="n">
        <v>180</v>
      </c>
      <c r="D46" s="68" t="n">
        <v>158</v>
      </c>
      <c r="E46" s="69" t="n">
        <v>-22</v>
      </c>
      <c r="F46" s="70" t="inlineStr">
        <is>
          <t>31-Mar-26</t>
        </is>
      </c>
      <c r="G46" s="64" t="inlineStr">
        <is>
          <t>Woodlawn (NSW): Cu/Zn/Pb/Ag polymetallic. Also has large mining services division (&gt;A$50M/qtr revenue). Pb &amp; Ag guidance not quantified.</t>
        </is>
      </c>
    </row>
    <row r="47" ht="22" customHeight="1">
      <c r="A47" s="46" t="inlineStr">
        <is>
          <t>29M</t>
        </is>
      </c>
      <c r="B47" s="49" t="inlineStr">
        <is>
          <t>29Metals Limited</t>
        </is>
      </c>
      <c r="C47" s="71" t="n">
        <v>234</v>
      </c>
      <c r="D47" s="71" t="n">
        <v>186</v>
      </c>
      <c r="E47" s="72" t="n">
        <v>-48</v>
      </c>
      <c r="F47" s="47" t="inlineStr">
        <is>
          <t>31-Mar-26</t>
        </is>
      </c>
      <c r="G47" s="60" t="inlineStr">
        <is>
          <t>Golden Grove (WA): Cu–Zn–Au–Ag. Zn guidance materially cut (Xantho Extended geotechnical event). Net cash A$48M per co. (31-Mar-26). US$120M RCF converted @ 0.645.</t>
        </is>
      </c>
    </row>
    <row r="48" ht="22" customHeight="1">
      <c r="A48" s="61" t="inlineStr">
        <is>
          <t>AMI</t>
        </is>
      </c>
      <c r="B48" s="62" t="inlineStr">
        <is>
          <t>Aurelia Metals Limited</t>
        </is>
      </c>
      <c r="C48" s="68" t="n">
        <v>94.7</v>
      </c>
      <c r="D48" s="68" t="n">
        <v>8.6</v>
      </c>
      <c r="E48" s="69" t="n">
        <v>-86.10000000000001</v>
      </c>
      <c r="F48" s="70" t="inlineStr">
        <is>
          <t>31-Mar-26</t>
        </is>
      </c>
      <c r="G48" s="64" t="inlineStr">
        <is>
          <t>Federation + Peak mines (Cobar, NSW). Au is primary revenue driver; Cu is minor co-product. A$150M facility committed but undrawn at 31-Mar-26.</t>
        </is>
      </c>
    </row>
    <row r="49" ht="22" customHeight="1">
      <c r="A49" s="46" t="inlineStr">
        <is>
          <t>HGO</t>
        </is>
      </c>
      <c r="B49" s="49" t="inlineStr">
        <is>
          <t>Hillgrove Resources Limited</t>
        </is>
      </c>
      <c r="C49" s="71" t="n">
        <v>25.2</v>
      </c>
      <c r="D49" s="71" t="n">
        <v>0</v>
      </c>
      <c r="E49" s="72" t="n">
        <v>-25.2</v>
      </c>
      <c r="F49" s="47" t="inlineStr">
        <is>
          <t>31-Mar-26</t>
        </is>
      </c>
      <c r="G49" s="60" t="inlineStr">
        <is>
          <t>Kanmantoo underground (SA). Pure copper producer (cathode + concentrate). Debt-free. Record Q1 CY26: 3,120 t Cu.</t>
        </is>
      </c>
    </row>
    <row r="50" ht="22" customHeight="1">
      <c r="A50" s="61" t="inlineStr">
        <is>
          <t>CYM</t>
        </is>
      </c>
      <c r="B50" s="62" t="inlineStr">
        <is>
          <t>Cyprium Metals Limited</t>
        </is>
      </c>
      <c r="C50" s="68" t="n">
        <v>96.5</v>
      </c>
      <c r="D50" s="68" t="n">
        <v>42</v>
      </c>
      <c r="E50" s="69" t="n">
        <v>-54.5</v>
      </c>
      <c r="F50" s="70" t="inlineStr">
        <is>
          <t>31-Mar-26</t>
        </is>
      </c>
      <c r="G50" s="64" t="inlineStr">
        <is>
          <t>PRE-PRODUCTION. Nifty SX-EW cathode restart (Pilbara, WA). Phase 1 ~7 ktpa Cu; Phase 2 potential ~25 ktpa. US$27.3M Nebari facility ≈ A$42M @ 0.645.</t>
        </is>
      </c>
    </row>
    <row r="51" ht="22" customHeight="1">
      <c r="A51" s="46" t="inlineStr">
        <is>
          <t>CSC</t>
        </is>
      </c>
      <c r="B51" s="49" t="inlineStr">
        <is>
          <t>Capstone Copper Corp.</t>
        </is>
      </c>
      <c r="C51" s="71" t="n">
        <v>611</v>
      </c>
      <c r="D51" s="71" t="n">
        <v>1754</v>
      </c>
      <c r="E51" s="72" t="n">
        <v>1143</v>
      </c>
      <c r="F51" s="47" t="inlineStr">
        <is>
          <t>31-Mar-26</t>
        </is>
      </c>
      <c r="G51" s="60" t="inlineStr">
        <is>
          <t>Canadian co. / ASX CDI (1:1). All financials in USD, converted @ 0.645 AUDUSD. Files Canadian MD&amp;A (not App 5B). Co-products (Ag, Au, Mo) add incremental CuEq – not quantified here.</t>
        </is>
      </c>
    </row>
    <row r="52" ht="22" customHeight="1">
      <c r="A52" s="61" t="inlineStr">
        <is>
          <t>SFR</t>
        </is>
      </c>
      <c r="B52" s="62" t="inlineStr">
        <is>
          <t>Sandfire Resources Limited</t>
        </is>
      </c>
      <c r="C52" s="68" t="n">
        <v>195.3</v>
      </c>
      <c r="D52" s="68" t="n">
        <v>119.3</v>
      </c>
      <c r="E52" s="69" t="n">
        <v>-76.00000000000001</v>
      </c>
      <c r="F52" s="70" t="inlineStr">
        <is>
          <t>31-Mar-26</t>
        </is>
      </c>
      <c r="G52" s="64" t="inlineStr">
        <is>
          <t>Company-disclosed CuEq. MATSA: Cu/Zn/Pb/Ag polymetallic. Motheo: copper only. Net cash A$76M per co. (31-Mar-26).</t>
        </is>
      </c>
    </row>
  </sheetData>
  <mergeCells count="18">
    <mergeCell ref="D38:F38"/>
    <mergeCell ref="A28:P28"/>
    <mergeCell ref="A42:P42"/>
    <mergeCell ref="A13:P13"/>
    <mergeCell ref="A14:P14"/>
    <mergeCell ref="D37:F37"/>
    <mergeCell ref="A1:P1"/>
    <mergeCell ref="D31:F31"/>
    <mergeCell ref="D32:F32"/>
    <mergeCell ref="D35:F35"/>
    <mergeCell ref="D36:F36"/>
    <mergeCell ref="A3:P3"/>
    <mergeCell ref="A30:P30"/>
    <mergeCell ref="D39:F39"/>
    <mergeCell ref="A29:P29"/>
    <mergeCell ref="D33:F33"/>
    <mergeCell ref="D34:F34"/>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2026-05-14T04:23:33Z</dcterms:created>
  <dcterms:modified xsi:type="dcterms:W3CDTF">2026-05-14T04:23:33Z</dcterms:modified>
</cp:coreProperties>
</file>