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 2026 Model" sheetId="1" state="visible" r:id="rId1"/>
    <sheet name="Histori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US$&quot;#,##0.000"/>
    <numFmt numFmtId="165" formatCode="#,##0.0&quot;M&quot;"/>
    <numFmt numFmtId="166" formatCode="_-&quot;US$&quot;* #,##0.0_-;[Red]_-&quot;US$&quot;* (#,##0.0)_-;_-&quot;US$&quot;* &quot;-&quot;??_-;_-@_-"/>
    <numFmt numFmtId="167" formatCode="&quot;US$&quot;#,##0"/>
    <numFmt numFmtId="168" formatCode="&quot;US$&quot;#,##0.00&quot;/lb&quot;"/>
    <numFmt numFmtId="169" formatCode="0.0%"/>
    <numFmt numFmtId="170" formatCode="_-&quot;US$&quot;* #,##0.00_-;[Red]_-&quot;US$&quot;* (#,##0.00)_-;_-&quot;US$&quot;* &quot;-&quot;??_-;_-@_-"/>
    <numFmt numFmtId="171" formatCode="#,##0.0&quot;×&quot;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1A1A1A"/>
      <sz val="10"/>
    </font>
    <font>
      <name val="Calibri"/>
      <b val="1"/>
      <color rgb="00FFFFFF"/>
      <sz val="9"/>
    </font>
    <font>
      <name val="Calibri"/>
      <b val="1"/>
      <color rgb="001F4E79"/>
      <sz val="10"/>
    </font>
    <font>
      <name val="Calibri"/>
      <b val="1"/>
      <color rgb="001F4E79"/>
      <sz val="11"/>
    </font>
    <font>
      <name val="Calibri"/>
      <color rgb="001F4E79"/>
      <sz val="10"/>
    </font>
    <font>
      <name val="Calibri"/>
      <b val="1"/>
      <color rgb="001F4E79"/>
      <sz val="9"/>
    </font>
    <font>
      <name val="Calibri"/>
      <b val="1"/>
      <color rgb="001A1A1A"/>
      <sz val="10"/>
    </font>
    <font>
      <name val="Calibri"/>
      <b val="1"/>
      <color rgb="009C0006"/>
      <sz val="10"/>
    </font>
    <font>
      <name val="Calibri"/>
      <b val="1"/>
      <color rgb="007F6000"/>
      <sz val="10"/>
    </font>
    <font>
      <name val="Calibri"/>
      <b val="1"/>
      <color rgb="00375623"/>
      <sz val="10"/>
    </font>
    <font>
      <name val="Calibri"/>
      <color rgb="009C0006"/>
      <sz val="10"/>
    </font>
    <font>
      <name val="Calibri"/>
      <color rgb="007F6000"/>
      <sz val="10"/>
    </font>
    <font>
      <name val="Calibri"/>
      <color rgb="00375623"/>
      <sz val="10"/>
    </font>
    <font>
      <name val="Calibri"/>
      <b val="1"/>
      <color rgb="001A1A1A"/>
      <sz val="11"/>
    </font>
    <font>
      <name val="Calibri"/>
      <b val="1"/>
      <color rgb="009C0006"/>
      <sz val="11"/>
    </font>
    <font>
      <name val="Calibri"/>
      <b val="1"/>
      <color rgb="00375623"/>
      <sz val="11"/>
    </font>
    <font>
      <name val="Calibri"/>
      <color rgb="00595959"/>
      <sz val="10"/>
    </font>
    <font>
      <name val="Calibri"/>
      <b val="1"/>
      <color rgb="007F6000"/>
      <sz val="11"/>
    </font>
    <font>
      <name val="Calibri"/>
      <b val="1"/>
      <color rgb="007F6000"/>
      <sz val="8"/>
    </font>
    <font>
      <name val="Calibri"/>
      <i val="1"/>
      <color rgb="007F6000"/>
      <sz val="8"/>
    </font>
    <font>
      <name val="Calibri"/>
      <b val="1"/>
      <color rgb="00FFFFFF"/>
      <sz val="12"/>
    </font>
    <font>
      <name val="Calibri"/>
      <color rgb="00FFFFFF"/>
      <sz val="8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b val="1"/>
      <color rgb="009C0006"/>
      <sz val="9"/>
    </font>
    <font>
      <name val="Calibri"/>
      <color rgb="009C0006"/>
      <sz val="9"/>
    </font>
    <font>
      <name val="Calibri"/>
      <color rgb="00375623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1F7E79"/>
      </patternFill>
    </fill>
    <fill>
      <patternFill patternType="solid">
        <fgColor rgb="00D6F0EF"/>
      </patternFill>
    </fill>
    <fill>
      <patternFill patternType="solid">
        <fgColor rgb="00F2F2F2"/>
      </patternFill>
    </fill>
    <fill>
      <patternFill patternType="solid">
        <fgColor rgb="009C0006"/>
      </patternFill>
    </fill>
    <fill>
      <patternFill patternType="solid">
        <fgColor rgb="007F6000"/>
      </patternFill>
    </fill>
    <fill>
      <patternFill patternType="solid">
        <fgColor rgb="00375623"/>
      </patternFill>
    </fill>
    <fill>
      <patternFill patternType="solid">
        <fgColor rgb="0017375E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/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 style="thin">
        <color rgb="009DC3E6"/>
      </left>
      <right style="thin">
        <color rgb="009DC3E6"/>
      </right>
      <top style="thin">
        <color rgb="009DC3E6"/>
      </top>
      <bottom style="medium">
        <color rgb="001F4E79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164" fontId="6" fillId="6" borderId="2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165" fontId="7" fillId="6" borderId="2" applyAlignment="1" pivotButton="0" quotePrefix="0" xfId="0">
      <alignment horizontal="right" vertical="center"/>
    </xf>
    <xf numFmtId="166" fontId="6" fillId="6" borderId="2" applyAlignment="1" pivotButton="0" quotePrefix="0" xfId="0">
      <alignment horizontal="right" vertical="center"/>
    </xf>
    <xf numFmtId="166" fontId="7" fillId="6" borderId="2" applyAlignment="1" pivotButton="0" quotePrefix="0" xfId="0">
      <alignment horizontal="right" vertical="center"/>
    </xf>
    <xf numFmtId="167" fontId="7" fillId="6" borderId="2" applyAlignment="1" pivotButton="0" quotePrefix="0" xfId="0">
      <alignment horizontal="right" vertical="center"/>
    </xf>
    <xf numFmtId="168" fontId="7" fillId="6" borderId="2" applyAlignment="1" pivotButton="0" quotePrefix="0" xfId="0">
      <alignment horizontal="right" vertical="center"/>
    </xf>
    <xf numFmtId="0" fontId="4" fillId="2" borderId="3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0" fontId="9" fillId="12" borderId="2" applyAlignment="1" pivotButton="0" quotePrefix="0" xfId="0">
      <alignment horizontal="left" vertical="center"/>
    </xf>
    <xf numFmtId="166" fontId="9" fillId="13" borderId="2" applyAlignment="1" pivotButton="0" quotePrefix="0" xfId="0">
      <alignment horizontal="right" vertical="center"/>
    </xf>
    <xf numFmtId="168" fontId="10" fillId="14" borderId="2" applyAlignment="1" pivotButton="0" quotePrefix="0" xfId="0">
      <alignment horizontal="right" vertical="center"/>
    </xf>
    <xf numFmtId="168" fontId="11" fillId="15" borderId="2" applyAlignment="1" pivotButton="0" quotePrefix="0" xfId="0">
      <alignment horizontal="right" vertical="center"/>
    </xf>
    <xf numFmtId="168" fontId="12" fillId="16" borderId="2" applyAlignment="1" pivotButton="0" quotePrefix="0" xfId="0">
      <alignment horizontal="right" vertical="center"/>
    </xf>
    <xf numFmtId="0" fontId="3" fillId="12" borderId="2" applyAlignment="1" pivotButton="0" quotePrefix="0" xfId="0">
      <alignment horizontal="left" vertical="center"/>
    </xf>
    <xf numFmtId="166" fontId="3" fillId="13" borderId="2" applyAlignment="1" pivotButton="0" quotePrefix="0" xfId="0">
      <alignment horizontal="right" vertical="center"/>
    </xf>
    <xf numFmtId="167" fontId="13" fillId="14" borderId="2" applyAlignment="1" pivotButton="0" quotePrefix="0" xfId="0">
      <alignment horizontal="right" vertical="center"/>
    </xf>
    <xf numFmtId="167" fontId="14" fillId="15" borderId="2" applyAlignment="1" pivotButton="0" quotePrefix="0" xfId="0">
      <alignment horizontal="right" vertical="center"/>
    </xf>
    <xf numFmtId="167" fontId="15" fillId="16" borderId="2" applyAlignment="1" pivotButton="0" quotePrefix="0" xfId="0">
      <alignment horizontal="right" vertical="center"/>
    </xf>
    <xf numFmtId="3" fontId="3" fillId="13" borderId="2" applyAlignment="1" pivotButton="0" quotePrefix="0" xfId="0">
      <alignment horizontal="right" vertical="center"/>
    </xf>
    <xf numFmtId="3" fontId="13" fillId="14" borderId="2" applyAlignment="1" pivotButton="0" quotePrefix="0" xfId="0">
      <alignment horizontal="right" vertical="center"/>
    </xf>
    <xf numFmtId="3" fontId="14" fillId="15" borderId="2" applyAlignment="1" pivotButton="0" quotePrefix="0" xfId="0">
      <alignment horizontal="right" vertical="center"/>
    </xf>
    <xf numFmtId="3" fontId="15" fillId="16" borderId="2" applyAlignment="1" pivotButton="0" quotePrefix="0" xfId="0">
      <alignment horizontal="right" vertical="center"/>
    </xf>
    <xf numFmtId="4" fontId="3" fillId="13" borderId="2" applyAlignment="1" pivotButton="0" quotePrefix="0" xfId="0">
      <alignment horizontal="right" vertical="center"/>
    </xf>
    <xf numFmtId="4" fontId="13" fillId="14" borderId="2" applyAlignment="1" pivotButton="0" quotePrefix="0" xfId="0">
      <alignment horizontal="right" vertical="center"/>
    </xf>
    <xf numFmtId="4" fontId="14" fillId="15" borderId="2" applyAlignment="1" pivotButton="0" quotePrefix="0" xfId="0">
      <alignment horizontal="right" vertical="center"/>
    </xf>
    <xf numFmtId="4" fontId="15" fillId="16" borderId="2" applyAlignment="1" pivotButton="0" quotePrefix="0" xfId="0">
      <alignment horizontal="right" vertical="center"/>
    </xf>
    <xf numFmtId="166" fontId="10" fillId="14" borderId="2" applyAlignment="1" pivotButton="0" quotePrefix="0" xfId="0">
      <alignment horizontal="right" vertical="center"/>
    </xf>
    <xf numFmtId="166" fontId="11" fillId="15" borderId="2" applyAlignment="1" pivotButton="0" quotePrefix="0" xfId="0">
      <alignment horizontal="right" vertical="center"/>
    </xf>
    <xf numFmtId="166" fontId="12" fillId="16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166" fontId="13" fillId="14" borderId="2" applyAlignment="1" pivotButton="0" quotePrefix="0" xfId="0">
      <alignment horizontal="right" vertical="center"/>
    </xf>
    <xf numFmtId="166" fontId="14" fillId="15" borderId="2" applyAlignment="1" pivotButton="0" quotePrefix="0" xfId="0">
      <alignment horizontal="right" vertical="center"/>
    </xf>
    <xf numFmtId="166" fontId="15" fillId="16" borderId="2" applyAlignment="1" pivotButton="0" quotePrefix="0" xfId="0">
      <alignment horizontal="right" vertical="center"/>
    </xf>
    <xf numFmtId="169" fontId="3" fillId="13" borderId="2" applyAlignment="1" pivotButton="0" quotePrefix="0" xfId="0">
      <alignment horizontal="right" vertical="center"/>
    </xf>
    <xf numFmtId="169" fontId="13" fillId="14" borderId="2" applyAlignment="1" pivotButton="0" quotePrefix="0" xfId="0">
      <alignment horizontal="right" vertical="center"/>
    </xf>
    <xf numFmtId="169" fontId="15" fillId="16" borderId="2" applyAlignment="1" pivotButton="0" quotePrefix="0" xfId="0">
      <alignment horizontal="right" vertical="center"/>
    </xf>
    <xf numFmtId="0" fontId="16" fillId="12" borderId="2" applyAlignment="1" pivotButton="0" quotePrefix="0" xfId="0">
      <alignment horizontal="left" vertical="center"/>
    </xf>
    <xf numFmtId="166" fontId="16" fillId="13" borderId="2" applyAlignment="1" pivotButton="0" quotePrefix="0" xfId="0">
      <alignment horizontal="right" vertical="center"/>
    </xf>
    <xf numFmtId="166" fontId="17" fillId="14" borderId="2" applyAlignment="1" pivotButton="0" quotePrefix="0" xfId="0">
      <alignment horizontal="right" vertical="center"/>
    </xf>
    <xf numFmtId="166" fontId="18" fillId="16" borderId="2" applyAlignment="1" pivotButton="0" quotePrefix="0" xfId="0">
      <alignment horizontal="right" vertical="center"/>
    </xf>
    <xf numFmtId="165" fontId="3" fillId="13" borderId="2" applyAlignment="1" pivotButton="0" quotePrefix="0" xfId="0">
      <alignment horizontal="right" vertical="center"/>
    </xf>
    <xf numFmtId="165" fontId="13" fillId="14" borderId="2" applyAlignment="1" pivotButton="0" quotePrefix="0" xfId="0">
      <alignment horizontal="right" vertical="center"/>
    </xf>
    <xf numFmtId="165" fontId="14" fillId="15" borderId="2" applyAlignment="1" pivotButton="0" quotePrefix="0" xfId="0">
      <alignment horizontal="right" vertical="center"/>
    </xf>
    <xf numFmtId="165" fontId="15" fillId="16" borderId="2" applyAlignment="1" pivotButton="0" quotePrefix="0" xfId="0">
      <alignment horizontal="right" vertical="center"/>
    </xf>
    <xf numFmtId="170" fontId="16" fillId="13" borderId="2" applyAlignment="1" pivotButton="0" quotePrefix="0" xfId="0">
      <alignment horizontal="right" vertical="center"/>
    </xf>
    <xf numFmtId="170" fontId="17" fillId="14" borderId="2" applyAlignment="1" pivotButton="0" quotePrefix="0" xfId="0">
      <alignment horizontal="right" vertical="center"/>
    </xf>
    <xf numFmtId="170" fontId="18" fillId="16" borderId="2" applyAlignment="1" pivotButton="0" quotePrefix="0" xfId="0">
      <alignment horizontal="right" vertical="center"/>
    </xf>
    <xf numFmtId="166" fontId="5" fillId="6" borderId="2" applyAlignment="1" pivotButton="0" quotePrefix="0" xfId="0">
      <alignment horizontal="right" vertical="center"/>
    </xf>
    <xf numFmtId="166" fontId="19" fillId="7" borderId="2" applyAlignment="1" pivotButton="0" quotePrefix="0" xfId="0">
      <alignment horizontal="right" vertical="center"/>
    </xf>
    <xf numFmtId="171" fontId="9" fillId="13" borderId="2" applyAlignment="1" pivotButton="0" quotePrefix="0" xfId="0">
      <alignment horizontal="right" vertical="center"/>
    </xf>
    <xf numFmtId="171" fontId="10" fillId="14" borderId="2" applyAlignment="1" pivotButton="0" quotePrefix="0" xfId="0">
      <alignment horizontal="right" vertical="center"/>
    </xf>
    <xf numFmtId="171" fontId="11" fillId="15" borderId="2" applyAlignment="1" pivotButton="0" quotePrefix="0" xfId="0">
      <alignment horizontal="right" vertical="center"/>
    </xf>
    <xf numFmtId="171" fontId="12" fillId="16" borderId="2" applyAlignment="1" pivotButton="0" quotePrefix="0" xfId="0">
      <alignment horizontal="right" vertical="center"/>
    </xf>
    <xf numFmtId="167" fontId="19" fillId="7" borderId="2" applyAlignment="1" pivotButton="0" quotePrefix="0" xfId="0">
      <alignment horizontal="right" vertical="center"/>
    </xf>
    <xf numFmtId="168" fontId="19" fillId="7" borderId="2" applyAlignment="1" pivotButton="0" quotePrefix="0" xfId="0">
      <alignment horizontal="right" vertical="center"/>
    </xf>
    <xf numFmtId="168" fontId="20" fillId="15" borderId="2" applyAlignment="1" pivotButton="0" quotePrefix="0" xfId="0">
      <alignment horizontal="right" vertical="center"/>
    </xf>
    <xf numFmtId="0" fontId="3" fillId="1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21" fillId="17" borderId="1" applyAlignment="1" pivotButton="0" quotePrefix="0" xfId="0">
      <alignment horizontal="left" vertical="center"/>
    </xf>
    <xf numFmtId="0" fontId="22" fillId="17" borderId="1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25" fillId="12" borderId="2" applyAlignment="1" pivotButton="0" quotePrefix="0" xfId="0">
      <alignment horizontal="left" vertical="center"/>
    </xf>
    <xf numFmtId="166" fontId="25" fillId="13" borderId="2" applyAlignment="1" pivotButton="0" quotePrefix="0" xfId="0">
      <alignment horizontal="right" vertical="center"/>
    </xf>
    <xf numFmtId="166" fontId="25" fillId="4" borderId="2" applyAlignment="1" pivotButton="0" quotePrefix="0" xfId="0">
      <alignment horizontal="right" vertical="center"/>
    </xf>
    <xf numFmtId="0" fontId="26" fillId="4" borderId="2" applyAlignment="1" pivotButton="0" quotePrefix="0" xfId="0">
      <alignment horizontal="left" vertical="center"/>
    </xf>
    <xf numFmtId="166" fontId="26" fillId="13" borderId="2" applyAlignment="1" pivotButton="0" quotePrefix="0" xfId="0">
      <alignment horizontal="right" vertical="center"/>
    </xf>
    <xf numFmtId="166" fontId="26" fillId="4" borderId="2" applyAlignment="1" pivotButton="0" quotePrefix="0" xfId="0">
      <alignment horizontal="right" vertical="center"/>
    </xf>
    <xf numFmtId="166" fontId="27" fillId="14" borderId="2" applyAlignment="1" pivotButton="0" quotePrefix="0" xfId="0">
      <alignment horizontal="right" vertical="center"/>
    </xf>
    <xf numFmtId="169" fontId="28" fillId="14" borderId="2" applyAlignment="1" pivotButton="0" quotePrefix="0" xfId="0">
      <alignment horizontal="right" vertical="center"/>
    </xf>
    <xf numFmtId="169" fontId="29" fillId="16" borderId="2" applyAlignment="1" pivotButton="0" quotePrefix="0" xfId="0">
      <alignment horizontal="right" vertical="center"/>
    </xf>
    <xf numFmtId="170" fontId="27" fillId="14" borderId="2" applyAlignment="1" pivotButton="0" quotePrefix="0" xfId="0">
      <alignment horizontal="right" vertical="center"/>
    </xf>
    <xf numFmtId="0" fontId="26" fillId="1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67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2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" t="inlineStr">
        <is>
          <t>LARGO RESOURCES (LGO)  —  Q2 2026 QUARTERLY EARNINGS MODEL</t>
        </is>
      </c>
    </row>
    <row r="2" ht="14" customHeight="1">
      <c r="A2" s="2" t="inlineStr">
        <is>
          <t>V₂O₅ price scenarios: US$5.00/lb  |  US$7.50/lb  |  US$10.00/lb   |  All figures US$ unless stated  |  Source: FactSet / IRESS RTD</t>
        </is>
      </c>
    </row>
    <row r="3" ht="5" customHeight="1">
      <c r="A3" s="3" t="n"/>
      <c r="B3" s="3" t="n"/>
      <c r="C3" s="3" t="n"/>
      <c r="D3" s="3" t="n"/>
      <c r="E3" s="3" t="n"/>
      <c r="F3" s="3" t="n"/>
    </row>
    <row r="4" ht="14" customHeight="1">
      <c r="A4" s="4" t="inlineStr">
        <is>
          <t xml:space="preserve">  LIVE MARKET DATA  (share price via IRESS RTD — ticker: LGO)  |  Net Debt: FactSet Q1 2026 Final (31 Mar 2026, reported 13 May 2026)</t>
        </is>
      </c>
    </row>
    <row r="5" ht="17" customHeight="1">
      <c r="A5" s="5" t="inlineStr">
        <is>
          <t>LGO  Last Price (US$/share) — NASDAQ</t>
        </is>
      </c>
      <c r="B5" s="6">
        <f>@IRESSRtd("Quote","13","0","LGO")</f>
        <v/>
      </c>
      <c r="C5" s="7" t="n"/>
      <c r="D5" s="7" t="n"/>
      <c r="E5" s="7" t="n"/>
      <c r="F5" s="7" t="n"/>
    </row>
    <row r="6" ht="17" customHeight="1">
      <c r="A6" s="8" t="inlineStr">
        <is>
          <t>Shares on Issue (millions)</t>
        </is>
      </c>
      <c r="B6" s="9" t="n">
        <v>88.31</v>
      </c>
      <c r="C6" s="7" t="n"/>
      <c r="D6" s="7" t="n"/>
      <c r="E6" s="7" t="n"/>
      <c r="F6" s="7" t="n"/>
    </row>
    <row r="7" ht="17" customHeight="1">
      <c r="A7" s="5" t="inlineStr">
        <is>
          <t>Market Capitalisation (US$M)  =  Price × 88.31M shares</t>
        </is>
      </c>
      <c r="B7" s="10">
        <f>$B$5*$B$6</f>
        <v/>
      </c>
      <c r="C7" s="7" t="n"/>
      <c r="D7" s="7" t="n"/>
      <c r="E7" s="7" t="n"/>
      <c r="F7" s="7" t="n"/>
    </row>
    <row r="8" ht="17" customHeight="1">
      <c r="A8" s="8" t="inlineStr">
        <is>
          <t>Net Debt (US$M)  —  31 Mar 2026  [FactSet FF_NET_DEBT, Q1 2026]</t>
        </is>
      </c>
      <c r="B8" s="11" t="n">
        <v>96.8</v>
      </c>
      <c r="C8" s="7" t="n"/>
      <c r="D8" s="7" t="n"/>
      <c r="E8" s="7" t="n"/>
      <c r="F8" s="7" t="n"/>
    </row>
    <row r="9" ht="18" customHeight="1">
      <c r="A9" s="5" t="inlineStr">
        <is>
          <t>Enterprise Value (US$M)  =  Mkt Cap + Net Debt</t>
        </is>
      </c>
      <c r="B9" s="10">
        <f>$B$7+$B$8</f>
        <v/>
      </c>
      <c r="C9" s="7" t="n"/>
      <c r="D9" s="7" t="n"/>
      <c r="E9" s="7" t="n"/>
      <c r="F9" s="7" t="n"/>
    </row>
    <row r="10" ht="17" customHeight="1">
      <c r="A10" s="8" t="inlineStr">
        <is>
          <t>EV / Annualised V₂O₅ Production (US$/t)  [9,600t pa est.]</t>
        </is>
      </c>
      <c r="B10" s="12">
        <f>$B$9*1000000/9600</f>
        <v/>
      </c>
      <c r="C10" s="7" t="n"/>
      <c r="D10" s="7" t="n"/>
      <c r="E10" s="7" t="n"/>
      <c r="F10" s="7" t="n"/>
    </row>
    <row r="11" ht="17" customHeight="1">
      <c r="A11" s="8" t="inlineStr">
        <is>
          <t>EV / Annualised V₂O₅ Production (US$/lb)</t>
        </is>
      </c>
      <c r="B11" s="13">
        <f>$B$9*1000000/9600/2204.6226</f>
        <v/>
      </c>
      <c r="C11" s="7" t="n"/>
      <c r="D11" s="7" t="n"/>
      <c r="E11" s="7" t="n"/>
      <c r="F11" s="7" t="n"/>
    </row>
    <row r="12" ht="5" customHeight="1">
      <c r="A12" s="3" t="n"/>
      <c r="B12" s="3" t="n"/>
      <c r="C12" s="3" t="n"/>
      <c r="D12" s="3" t="n"/>
      <c r="E12" s="3" t="n"/>
      <c r="F12" s="3" t="n"/>
    </row>
    <row r="13" ht="36" customHeight="1">
      <c r="A13" s="14" t="inlineStr">
        <is>
          <t>Line Item</t>
        </is>
      </c>
      <c r="B13" s="15" t="inlineStr">
        <is>
          <t>Q1 2026
Actual</t>
        </is>
      </c>
      <c r="C13" s="16" t="inlineStr"/>
      <c r="D13" s="17" t="inlineStr">
        <is>
          <t>BEAR CASE
US$5.00/lb
V₂O₅</t>
        </is>
      </c>
      <c r="E13" s="18" t="inlineStr">
        <is>
          <t>BASE CASE
US$7.50/lb
V₂O₅</t>
        </is>
      </c>
      <c r="F13" s="19" t="inlineStr">
        <is>
          <t>BULL CASE
US$10.00/lb
V₂O₅</t>
        </is>
      </c>
    </row>
    <row r="14" ht="14" customHeight="1">
      <c r="A14" s="20" t="inlineStr">
        <is>
          <t xml:space="preserve">  OPERATING ASSUMPTIONS</t>
        </is>
      </c>
    </row>
    <row r="15" ht="16" customHeight="1">
      <c r="A15" s="21" t="inlineStr">
        <is>
          <t>V₂O₅ Realised Price (US$/lb)</t>
        </is>
      </c>
      <c r="B15" s="22" t="n"/>
      <c r="C15" s="7" t="n"/>
      <c r="D15" s="23" t="n">
        <v>5</v>
      </c>
      <c r="E15" s="24" t="n">
        <v>7.5</v>
      </c>
      <c r="F15" s="25" t="n">
        <v>10</v>
      </c>
    </row>
    <row r="16" ht="16" customHeight="1">
      <c r="A16" s="26" t="inlineStr">
        <is>
          <t>V₂O₅ Realised Price (US$/t)</t>
        </is>
      </c>
      <c r="B16" s="27" t="n"/>
      <c r="C16" s="7" t="n"/>
      <c r="D16" s="28" t="n">
        <v>11023.113</v>
      </c>
      <c r="E16" s="29" t="n">
        <v>16534.6695</v>
      </c>
      <c r="F16" s="30" t="n">
        <v>22046.226</v>
      </c>
    </row>
    <row r="17" ht="16" customHeight="1">
      <c r="A17" s="26" t="inlineStr">
        <is>
          <t>Sales Volume (t V₂O₅)  ⁽¹⁾</t>
        </is>
      </c>
      <c r="B17" s="31" t="n"/>
      <c r="C17" s="7" t="n"/>
      <c r="D17" s="32" t="n">
        <v>2400</v>
      </c>
      <c r="E17" s="33" t="n">
        <v>2400</v>
      </c>
      <c r="F17" s="34" t="n">
        <v>2400</v>
      </c>
    </row>
    <row r="18" ht="16" customHeight="1">
      <c r="A18" s="26" t="inlineStr">
        <is>
          <t>Sales Volume (M lbs V₂O₅)</t>
        </is>
      </c>
      <c r="B18" s="35" t="n"/>
      <c r="C18" s="7" t="n"/>
      <c r="D18" s="36" t="n">
        <v>5.291094240000001</v>
      </c>
      <c r="E18" s="37" t="n">
        <v>5.291094240000001</v>
      </c>
      <c r="F18" s="38" t="n">
        <v>5.291094240000001</v>
      </c>
    </row>
    <row r="19" ht="5" customHeight="1">
      <c r="A19" s="3" t="n"/>
      <c r="B19" s="3" t="n"/>
      <c r="C19" s="3" t="n"/>
      <c r="D19" s="3" t="n"/>
      <c r="E19" s="3" t="n"/>
      <c r="F19" s="3" t="n"/>
    </row>
    <row r="20" ht="14" customHeight="1">
      <c r="A20" s="20" t="inlineStr">
        <is>
          <t xml:space="preserve">  INCOME STATEMENT  (US$M)</t>
        </is>
      </c>
    </row>
    <row r="21" ht="16" customHeight="1">
      <c r="A21" s="21" t="inlineStr">
        <is>
          <t>Revenue</t>
        </is>
      </c>
      <c r="B21" s="22" t="n">
        <v>27.53</v>
      </c>
      <c r="C21" s="7" t="n"/>
      <c r="D21" s="39" t="n">
        <v>26.4554712</v>
      </c>
      <c r="E21" s="40" t="n">
        <v>39.68320680000001</v>
      </c>
      <c r="F21" s="41" t="n">
        <v>52.9109424</v>
      </c>
    </row>
    <row r="22" ht="16" customHeight="1">
      <c r="A22" s="42" t="inlineStr">
        <is>
          <t xml:space="preserve">    Cost of Goods Sold (incl. D&amp;A)  ⁽²⁾</t>
        </is>
      </c>
      <c r="B22" s="27" t="n">
        <v>34.72</v>
      </c>
      <c r="C22" s="7" t="n"/>
      <c r="D22" s="43" t="n">
        <v>34.5</v>
      </c>
      <c r="E22" s="44" t="n">
        <v>34.5</v>
      </c>
      <c r="F22" s="45" t="n">
        <v>34.5</v>
      </c>
    </row>
    <row r="23" ht="16" customHeight="1">
      <c r="A23" s="21" t="inlineStr">
        <is>
          <t>Gross Profit / (Loss)</t>
        </is>
      </c>
      <c r="B23" s="22" t="n">
        <v>-7.189999999999998</v>
      </c>
      <c r="C23" s="7" t="n"/>
      <c r="D23" s="39" t="n">
        <v>-8.044528799999998</v>
      </c>
      <c r="E23" s="41" t="n">
        <v>5.183206800000008</v>
      </c>
      <c r="F23" s="41" t="n">
        <v>18.4109424</v>
      </c>
    </row>
    <row r="24" ht="16" customHeight="1">
      <c r="A24" s="42" t="inlineStr">
        <is>
          <t xml:space="preserve">    Gross Margin (%)</t>
        </is>
      </c>
      <c r="B24" s="46" t="n">
        <v>-0.2611696331274972</v>
      </c>
      <c r="C24" s="7" t="n"/>
      <c r="D24" s="47" t="n">
        <v>-0.3040780766739848</v>
      </c>
      <c r="E24" s="48" t="n">
        <v>0.1306146155506769</v>
      </c>
      <c r="F24" s="48" t="n">
        <v>0.3479609616630076</v>
      </c>
    </row>
    <row r="25" ht="5" customHeight="1">
      <c r="A25" s="3" t="n"/>
      <c r="B25" s="3" t="n"/>
      <c r="C25" s="3" t="n"/>
      <c r="D25" s="3" t="n"/>
      <c r="E25" s="3" t="n"/>
      <c r="F25" s="3" t="n"/>
    </row>
    <row r="26" ht="16" customHeight="1">
      <c r="A26" s="42" t="inlineStr">
        <is>
          <t xml:space="preserve">    Selling, General &amp; Administrative</t>
        </is>
      </c>
      <c r="B26" s="27" t="n">
        <v>4.54</v>
      </c>
      <c r="C26" s="7" t="n"/>
      <c r="D26" s="43" t="n">
        <v>4.5</v>
      </c>
      <c r="E26" s="44" t="n">
        <v>4.5</v>
      </c>
      <c r="F26" s="45" t="n">
        <v>4.5</v>
      </c>
    </row>
    <row r="27" ht="16" customHeight="1">
      <c r="A27" s="21" t="inlineStr">
        <is>
          <t>EBIT</t>
        </is>
      </c>
      <c r="B27" s="22" t="n">
        <v>-11.72</v>
      </c>
      <c r="C27" s="7" t="n"/>
      <c r="D27" s="39" t="n">
        <v>-12.5445288</v>
      </c>
      <c r="E27" s="41" t="n">
        <v>0.6832068000000078</v>
      </c>
      <c r="F27" s="41" t="n">
        <v>13.9109424</v>
      </c>
    </row>
    <row r="28" ht="16" customHeight="1">
      <c r="A28" s="42" t="inlineStr">
        <is>
          <t xml:space="preserve">    EBIT Margin (%)</t>
        </is>
      </c>
      <c r="B28" s="46" t="n">
        <v>-0.4257173992008717</v>
      </c>
      <c r="C28" s="7" t="n"/>
      <c r="D28" s="47" t="n">
        <v>-0.474175217109722</v>
      </c>
      <c r="E28" s="48" t="n">
        <v>0.01721652192685213</v>
      </c>
      <c r="F28" s="48" t="n">
        <v>0.262912391445139</v>
      </c>
    </row>
    <row r="29" ht="5" customHeight="1">
      <c r="A29" s="3" t="n"/>
      <c r="B29" s="3" t="n"/>
      <c r="C29" s="3" t="n"/>
      <c r="D29" s="3" t="n"/>
      <c r="E29" s="3" t="n"/>
      <c r="F29" s="3" t="n"/>
    </row>
    <row r="30" ht="16" customHeight="1">
      <c r="A30" s="42" t="inlineStr">
        <is>
          <t xml:space="preserve">    Add: Depreciation, Depletion &amp; Amortisation</t>
        </is>
      </c>
      <c r="B30" s="27" t="n">
        <v>7.13</v>
      </c>
      <c r="C30" s="7" t="n"/>
      <c r="D30" s="43" t="n">
        <v>7</v>
      </c>
      <c r="E30" s="44" t="n">
        <v>7</v>
      </c>
      <c r="F30" s="45" t="n">
        <v>7</v>
      </c>
    </row>
    <row r="31" ht="18" customHeight="1">
      <c r="A31" s="49" t="inlineStr">
        <is>
          <t>EBITDA</t>
        </is>
      </c>
      <c r="B31" s="50" t="n">
        <v>-4.59</v>
      </c>
      <c r="C31" s="7" t="n"/>
      <c r="D31" s="51" t="n">
        <v>-5.544528799999998</v>
      </c>
      <c r="E31" s="52" t="n">
        <v>7.683206800000008</v>
      </c>
      <c r="F31" s="52" t="n">
        <v>20.9109424</v>
      </c>
    </row>
    <row r="32" ht="16" customHeight="1">
      <c r="A32" s="42" t="inlineStr">
        <is>
          <t xml:space="preserve">    EBITDA Margin (%)</t>
        </is>
      </c>
      <c r="B32" s="46" t="n">
        <v>-0.1667272066836178</v>
      </c>
      <c r="C32" s="7" t="n"/>
      <c r="D32" s="47" t="n">
        <v>-0.2095796653207975</v>
      </c>
      <c r="E32" s="48" t="n">
        <v>0.1936135564528018</v>
      </c>
      <c r="F32" s="48" t="n">
        <v>0.3952101673396012</v>
      </c>
    </row>
    <row r="33" ht="5" customHeight="1">
      <c r="A33" s="3" t="n"/>
      <c r="B33" s="3" t="n"/>
      <c r="C33" s="3" t="n"/>
      <c r="D33" s="3" t="n"/>
      <c r="E33" s="3" t="n"/>
      <c r="F33" s="3" t="n"/>
    </row>
    <row r="34" ht="16" customHeight="1">
      <c r="A34" s="42" t="inlineStr">
        <is>
          <t xml:space="preserve">    Net Interest Expense  ⁽³⁾</t>
        </is>
      </c>
      <c r="B34" s="27" t="n"/>
      <c r="C34" s="7" t="n"/>
      <c r="D34" s="43" t="n">
        <v>2.5</v>
      </c>
      <c r="E34" s="44" t="n">
        <v>2.5</v>
      </c>
      <c r="F34" s="45" t="n">
        <v>2.5</v>
      </c>
    </row>
    <row r="35" ht="16" customHeight="1">
      <c r="A35" s="26" t="inlineStr">
        <is>
          <t>Earnings Before Tax (EBT)</t>
        </is>
      </c>
      <c r="B35" s="27" t="n"/>
      <c r="C35" s="7" t="n"/>
      <c r="D35" s="43" t="n">
        <v>-15.0445288</v>
      </c>
      <c r="E35" s="43" t="n">
        <v>-1.816793199999992</v>
      </c>
      <c r="F35" s="45" t="n">
        <v>11.4109424</v>
      </c>
    </row>
    <row r="36" ht="16" customHeight="1">
      <c r="A36" s="42" t="inlineStr">
        <is>
          <t xml:space="preserve">    Income Tax (34% on positive EBT)  ⁽⁴⁾</t>
        </is>
      </c>
      <c r="B36" s="27" t="n">
        <v>0.15</v>
      </c>
      <c r="C36" s="7" t="n"/>
      <c r="D36" s="43" t="n">
        <v>0</v>
      </c>
      <c r="E36" s="44" t="n">
        <v>0</v>
      </c>
      <c r="F36" s="45" t="n">
        <v>3.879720416000001</v>
      </c>
    </row>
    <row r="37" ht="18" customHeight="1">
      <c r="A37" s="49" t="inlineStr">
        <is>
          <t>NET INCOME / (LOSS)</t>
        </is>
      </c>
      <c r="B37" s="50" t="n">
        <v>-6.29</v>
      </c>
      <c r="C37" s="7" t="n"/>
      <c r="D37" s="51" t="n">
        <v>-15.0445288</v>
      </c>
      <c r="E37" s="51" t="n">
        <v>-1.816793199999992</v>
      </c>
      <c r="F37" s="52" t="n">
        <v>7.531221984000002</v>
      </c>
    </row>
    <row r="38" ht="16" customHeight="1">
      <c r="A38" s="42" t="inlineStr">
        <is>
          <t xml:space="preserve">    Net Margin (%)</t>
        </is>
      </c>
      <c r="B38" s="46" t="n">
        <v>-0.2284780239738467</v>
      </c>
      <c r="C38" s="7" t="n"/>
      <c r="D38" s="47" t="n">
        <v>-0.5686736284629093</v>
      </c>
      <c r="E38" s="47" t="n">
        <v>-0.04578241897527273</v>
      </c>
      <c r="F38" s="48" t="n">
        <v>0.1423377026072399</v>
      </c>
    </row>
    <row r="39" ht="5" customHeight="1">
      <c r="A39" s="3" t="n"/>
      <c r="B39" s="3" t="n"/>
      <c r="C39" s="3" t="n"/>
      <c r="D39" s="3" t="n"/>
      <c r="E39" s="3" t="n"/>
      <c r="F39" s="3" t="n"/>
    </row>
    <row r="40" ht="14" customHeight="1">
      <c r="A40" s="20" t="inlineStr">
        <is>
          <t xml:space="preserve">  PER SHARE DATA</t>
        </is>
      </c>
    </row>
    <row r="41" ht="16" customHeight="1">
      <c r="A41" s="26" t="inlineStr">
        <is>
          <t>Shares on Issue (millions)</t>
        </is>
      </c>
      <c r="B41" s="53" t="n">
        <v>88.31</v>
      </c>
      <c r="C41" s="7" t="n"/>
      <c r="D41" s="54" t="n">
        <v>88.31</v>
      </c>
      <c r="E41" s="55" t="n">
        <v>88.31</v>
      </c>
      <c r="F41" s="56" t="n">
        <v>88.31</v>
      </c>
    </row>
    <row r="42" ht="18" customHeight="1">
      <c r="A42" s="49" t="inlineStr">
        <is>
          <t>EPS (US$/share)</t>
        </is>
      </c>
      <c r="B42" s="57" t="n">
        <v>-0.07122636168044388</v>
      </c>
      <c r="C42" s="7" t="n"/>
      <c r="D42" s="58" t="n">
        <v>-0.1703604212433473</v>
      </c>
      <c r="E42" s="58" t="n">
        <v>-0.02057290454082202</v>
      </c>
      <c r="F42" s="59" t="n">
        <v>0.08528164402672406</v>
      </c>
    </row>
    <row r="43" ht="5" customHeight="1">
      <c r="A43" s="3" t="n"/>
      <c r="B43" s="3" t="n"/>
      <c r="C43" s="3" t="n"/>
      <c r="D43" s="3" t="n"/>
      <c r="E43" s="3" t="n"/>
      <c r="F43" s="3" t="n"/>
    </row>
    <row r="44" ht="14" customHeight="1">
      <c r="A44" s="20" t="inlineStr">
        <is>
          <t xml:space="preserve">  ENTERPRISE VALUE &amp; VALUATION MULTIPLES  (live EV from header above)</t>
        </is>
      </c>
    </row>
    <row r="45" ht="16" customHeight="1">
      <c r="A45" s="21" t="inlineStr">
        <is>
          <t>Enterprise Value — live (US$M)  ⁽⁵⁾</t>
        </is>
      </c>
      <c r="B45" s="60">
        <f>$B$9</f>
        <v/>
      </c>
      <c r="C45" s="7" t="n"/>
      <c r="D45" s="60">
        <f>$B$9</f>
        <v/>
      </c>
      <c r="E45" s="60">
        <f>$B$9</f>
        <v/>
      </c>
      <c r="F45" s="60">
        <f>$B$9</f>
        <v/>
      </c>
    </row>
    <row r="46" ht="16" customHeight="1">
      <c r="A46" s="42" t="inlineStr">
        <is>
          <t xml:space="preserve">    Net Debt (US$M)</t>
        </is>
      </c>
      <c r="B46" s="27" t="n">
        <v>96.8</v>
      </c>
      <c r="C46" s="7" t="n"/>
      <c r="D46" s="43" t="n">
        <v>96.8</v>
      </c>
      <c r="E46" s="44" t="n">
        <v>96.8</v>
      </c>
      <c r="F46" s="45" t="n">
        <v>96.8</v>
      </c>
    </row>
    <row r="47" ht="16" customHeight="1">
      <c r="A47" s="42" t="inlineStr">
        <is>
          <t xml:space="preserve">    Implied Market Capitalisation (US$M)</t>
        </is>
      </c>
      <c r="B47" s="11">
        <f>$B$7</f>
        <v/>
      </c>
      <c r="C47" s="7" t="n"/>
      <c r="D47" s="61">
        <f>$B$7</f>
        <v/>
      </c>
      <c r="E47" s="61">
        <f>$B$7</f>
        <v/>
      </c>
      <c r="F47" s="61">
        <f>$B$7</f>
        <v/>
      </c>
    </row>
    <row r="48" ht="5" customHeight="1">
      <c r="A48" s="3" t="n"/>
      <c r="B48" s="3" t="n"/>
      <c r="C48" s="3" t="n"/>
      <c r="D48" s="3" t="n"/>
      <c r="E48" s="3" t="n"/>
      <c r="F48" s="3" t="n"/>
    </row>
    <row r="49" ht="16" customHeight="1">
      <c r="A49" s="26" t="inlineStr">
        <is>
          <t>Annualised EBITDA  (Q2 × 4,  indicative)  (US$M)</t>
        </is>
      </c>
      <c r="B49" s="27" t="n">
        <v>-18.36</v>
      </c>
      <c r="C49" s="7" t="n"/>
      <c r="D49" s="43" t="n">
        <v>-22.17811519999999</v>
      </c>
      <c r="E49" s="45" t="n">
        <v>30.73282720000003</v>
      </c>
      <c r="F49" s="45" t="n">
        <v>83.64376960000001</v>
      </c>
    </row>
    <row r="50" ht="16" customHeight="1">
      <c r="A50" s="21" t="inlineStr">
        <is>
          <t>EV / Annualised EBITDA  ⁽⁶⁾</t>
        </is>
      </c>
      <c r="B50" s="62" t="inlineStr">
        <is>
          <t>n/m</t>
        </is>
      </c>
      <c r="C50" s="7" t="n"/>
      <c r="D50" s="63" t="inlineStr">
        <is>
          <t>n/m</t>
        </is>
      </c>
      <c r="E50" s="64">
        <f>$B$9/30.7328</f>
        <v/>
      </c>
      <c r="F50" s="65">
        <f>$B$9/83.6438</f>
        <v/>
      </c>
    </row>
    <row r="51" ht="5" customHeight="1">
      <c r="A51" s="3" t="n"/>
      <c r="B51" s="3" t="n"/>
      <c r="C51" s="3" t="n"/>
      <c r="D51" s="3" t="n"/>
      <c r="E51" s="3" t="n"/>
      <c r="F51" s="3" t="n"/>
    </row>
    <row r="52" ht="16" customHeight="1">
      <c r="A52" s="26" t="inlineStr">
        <is>
          <t>EV / Annualised V₂O₅ Production  (US$/t)  ⁽⁷⁾</t>
        </is>
      </c>
      <c r="B52" s="12">
        <f>$B$9*1000000/9600</f>
        <v/>
      </c>
      <c r="C52" s="7" t="n"/>
      <c r="D52" s="66">
        <f>$B$9*1000000/9600</f>
        <v/>
      </c>
      <c r="E52" s="66">
        <f>$B$9*1000000/9600</f>
        <v/>
      </c>
      <c r="F52" s="66">
        <f>$B$9*1000000/9600</f>
        <v/>
      </c>
    </row>
    <row r="53" ht="16" customHeight="1">
      <c r="A53" s="26" t="inlineStr">
        <is>
          <t>EV / Annualised V₂O₅ Production  (US$/lb)  ⁽⁷⁾</t>
        </is>
      </c>
      <c r="B53" s="13">
        <f>$B$9*1000000/9600/2204.6226</f>
        <v/>
      </c>
      <c r="C53" s="7" t="n"/>
      <c r="D53" s="67">
        <f>$B$9*1000000/9600/2204.6226</f>
        <v/>
      </c>
      <c r="E53" s="67">
        <f>$B$9*1000000/9600/2204.6226</f>
        <v/>
      </c>
      <c r="F53" s="67">
        <f>$B$9*1000000/9600/2204.6226</f>
        <v/>
      </c>
    </row>
    <row r="54" ht="5" customHeight="1">
      <c r="A54" s="3" t="n"/>
      <c r="B54" s="3" t="n"/>
      <c r="C54" s="3" t="n"/>
      <c r="D54" s="3" t="n"/>
      <c r="E54" s="3" t="n"/>
      <c r="F54" s="3" t="n"/>
    </row>
    <row r="55" ht="14" customHeight="1">
      <c r="A55" s="20" t="inlineStr">
        <is>
          <t xml:space="preserve">  BREAKEVEN ANALYSIS  (at 2,400t V₂O₅ sold)</t>
        </is>
      </c>
    </row>
    <row r="56" ht="18" customHeight="1">
      <c r="A56" s="21" t="inlineStr">
        <is>
          <t>EBITDA Breakeven  (Revenue = Cash COGS + SG&amp;A)</t>
        </is>
      </c>
      <c r="B56" s="68" t="n">
        <v>6.047898326603987</v>
      </c>
      <c r="D56" s="69" t="n"/>
      <c r="E56" s="69" t="n"/>
      <c r="F56" s="69" t="n"/>
    </row>
    <row r="57" ht="18" customHeight="1">
      <c r="A57" s="21" t="inlineStr">
        <is>
          <t>EBIT Breakeven     (Revenue = Total COGS + SG&amp;A)</t>
        </is>
      </c>
      <c r="B57" s="68" t="n">
        <v>7.37087608554861</v>
      </c>
      <c r="D57" s="69" t="n"/>
      <c r="E57" s="69" t="n"/>
      <c r="F57" s="69" t="n"/>
    </row>
    <row r="58" ht="18" customHeight="1">
      <c r="A58" s="21" t="inlineStr">
        <is>
          <t>Net Income Breakeven  (EBT = 0;  COGS + SG&amp;A + Interest)</t>
        </is>
      </c>
      <c r="B58" s="68" t="n">
        <v>7.843368142314547</v>
      </c>
      <c r="D58" s="69" t="n"/>
      <c r="E58" s="69" t="n"/>
      <c r="F58" s="69" t="n"/>
    </row>
    <row r="59" ht="5" customHeight="1">
      <c r="A59" s="3" t="n"/>
      <c r="B59" s="3" t="n"/>
      <c r="C59" s="3" t="n"/>
      <c r="D59" s="3" t="n"/>
      <c r="E59" s="3" t="n"/>
      <c r="F59" s="3" t="n"/>
    </row>
    <row r="60" ht="14" customHeight="1">
      <c r="A60" s="70" t="inlineStr">
        <is>
          <t xml:space="preserve">  FOOTNOTES &amp; MODEL NOTES</t>
        </is>
      </c>
    </row>
    <row r="61" ht="14" customHeight="1">
      <c r="A61" s="71" t="inlineStr">
        <is>
          <t>⁽¹⁾  Volume</t>
        </is>
      </c>
      <c r="B61" s="72" t="inlineStr">
        <is>
          <t>2,400t V₂O₅ assumed for Q2 2026 (annualised ~9,600t pa). Based on Largo's recent run-rate (~2,200–2,500t/qtr) and FY2025 actual production of ~9,300t. Volume held constant across scenarios.</t>
        </is>
      </c>
    </row>
    <row r="62" ht="14" customHeight="1">
      <c r="A62" s="71" t="inlineStr">
        <is>
          <t>⁽²⁾  COGS</t>
        </is>
      </c>
      <c r="B62" s="72" t="inlineStr">
        <is>
          <t>Includes D&amp;A of US$7.0M/qtr. Cash COGS (ex-D&amp;A) = US$27.5M, anchored to Q1 2026 actuals (FactSet). Costs are BRL-denominated at mine level — a stronger/weaker BRL will shift reported USD costs.</t>
        </is>
      </c>
    </row>
    <row r="63" ht="14" customHeight="1">
      <c r="A63" s="71" t="inlineStr">
        <is>
          <t>⁽³⁾  Interest</t>
        </is>
      </c>
      <c r="B63" s="72" t="inlineStr">
        <is>
          <t>Estimated US$2.5M/qtr (US$108M total debt @ ~9.3%pa). Largo's debt is BRL-denominated; FX translation gains/losses on debt balances can materially affect reported Net Income and are NOT modelled here (see Q1 2026 actual where FX gains reduced net loss to US$6.3M).</t>
        </is>
      </c>
    </row>
    <row r="64" ht="14" customHeight="1">
      <c r="A64" s="71" t="inlineStr">
        <is>
          <t>⁽⁴⁾  Tax</t>
        </is>
      </c>
      <c r="B64" s="72" t="inlineStr">
        <is>
          <t>Brazil CSLL/IRPJ statutory rate 34%, applied to positive EBT only. Deferred tax assets on accumulated losses not assumed recognised.</t>
        </is>
      </c>
    </row>
    <row r="65" ht="14" customHeight="1">
      <c r="A65" s="71" t="inlineStr">
        <is>
          <t>⁽⁵⁾  Enterprise Value</t>
        </is>
      </c>
      <c r="B65" s="72" t="inlineStr">
        <is>
          <t>EV = Live Market Cap (IRESS RTD price × 88.31M shares) + Net Debt of US$96.8M (FactSet FF_NET_DEBT, Q1 2026, 31 Mar 2026, reported 13 May 2026). EV moves in real-time with the share price. IRESS ticker used: 'LGO' — verify exchange suffix (.NSQ for NASDAQ, .TSX for Toronto) if the RTD cell shows an error.</t>
        </is>
      </c>
    </row>
    <row r="66" ht="14" customHeight="1">
      <c r="A66" s="71" t="inlineStr">
        <is>
          <t>⁽⁶⁾  EV/EBITDA</t>
        </is>
      </c>
      <c r="B66" s="72" t="inlineStr">
        <is>
          <t>Annualised EBITDA = Q2 2026 modelled EBITDA × 4 (indicative; single-quarter annualisation). Shown as 'n/m' for negative EBITDA scenarios. Live EV from header divided by annualised EBITDA.</t>
        </is>
      </c>
    </row>
    <row r="67" ht="14" customHeight="1">
      <c r="A67" s="71" t="inlineStr">
        <is>
          <t>⁽⁷⁾  EV/V₂O₅</t>
        </is>
      </c>
      <c r="B67" s="72" t="inlineStr">
        <is>
          <t>Live EV divided by annualised V₂O₅ production of 9,600t pa (= 2,400t Q2 × 4). This metric is constant across all three price scenarios — it is driven solely by the live share price, not by the V₂O₅ commodity price assumption.</t>
        </is>
      </c>
    </row>
  </sheetData>
  <mergeCells count="19">
    <mergeCell ref="B62:F62"/>
    <mergeCell ref="B66:F66"/>
    <mergeCell ref="B56:C56"/>
    <mergeCell ref="A55:F55"/>
    <mergeCell ref="B58:C58"/>
    <mergeCell ref="A2:F2"/>
    <mergeCell ref="A14:F14"/>
    <mergeCell ref="B67:F67"/>
    <mergeCell ref="B61:F61"/>
    <mergeCell ref="A4:F4"/>
    <mergeCell ref="A20:F20"/>
    <mergeCell ref="B57:C57"/>
    <mergeCell ref="A44:F44"/>
    <mergeCell ref="A40:F40"/>
    <mergeCell ref="B65:F65"/>
    <mergeCell ref="A60:F60"/>
    <mergeCell ref="B64:F64"/>
    <mergeCell ref="A1:F1"/>
    <mergeCell ref="B63:F6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73" t="inlineStr">
        <is>
          <t>LARGO RESOURCES (LGO)  —  QUARTERLY ACTUALS  |  Q1 2024 – Q1 2026</t>
        </is>
      </c>
    </row>
    <row r="2" ht="13" customHeight="1">
      <c r="A2" s="74" t="inlineStr">
        <is>
          <t>Source: FactSet Fundamentals API  (FF_SALES / FF_COGS / FF_SGA / FF_EBITDA_OPER / FF_DEP_EXP_CF / FF_INC_TAX / FF_NET_INC)  |  Currency: USD  |  All figures US$M</t>
        </is>
      </c>
    </row>
    <row r="3" ht="4" customHeight="1"/>
    <row r="4" ht="28" customHeight="1">
      <c r="A4" s="75" t="inlineStr">
        <is>
          <t>Line Item (US$M)</t>
        </is>
      </c>
      <c r="B4" s="15" t="inlineStr">
        <is>
          <t>Q1 2024</t>
        </is>
      </c>
      <c r="C4" s="15" t="inlineStr">
        <is>
          <t>Q2 2024</t>
        </is>
      </c>
      <c r="D4" s="15" t="inlineStr">
        <is>
          <t>Q3 2024</t>
        </is>
      </c>
      <c r="E4" s="15" t="inlineStr">
        <is>
          <t>Q4 2024</t>
        </is>
      </c>
      <c r="F4" s="15" t="inlineStr">
        <is>
          <t>Q1 2025</t>
        </is>
      </c>
      <c r="G4" s="15" t="inlineStr">
        <is>
          <t>Q2 2025</t>
        </is>
      </c>
      <c r="H4" s="15" t="inlineStr">
        <is>
          <t>Q3 2025 †</t>
        </is>
      </c>
      <c r="I4" s="15" t="inlineStr">
        <is>
          <t>Q4 2025</t>
        </is>
      </c>
      <c r="J4" s="15" t="inlineStr">
        <is>
          <t>Q1 2026</t>
        </is>
      </c>
    </row>
    <row r="5" ht="14" customHeight="1">
      <c r="A5" s="20" t="inlineStr">
        <is>
          <t xml:space="preserve">  INCOME STATEMENT  (US$M)</t>
        </is>
      </c>
    </row>
    <row r="6" ht="16" customHeight="1">
      <c r="A6" s="76" t="inlineStr">
        <is>
          <t>Revenue</t>
        </is>
      </c>
      <c r="B6" s="77" t="n">
        <v>42.19</v>
      </c>
      <c r="C6" s="78" t="n">
        <v>28.56</v>
      </c>
      <c r="D6" s="77" t="n">
        <v>29.91</v>
      </c>
      <c r="E6" s="78" t="n">
        <v>24.27</v>
      </c>
      <c r="F6" s="77" t="n">
        <v>28.24</v>
      </c>
      <c r="G6" s="78" t="n">
        <v>26.12</v>
      </c>
      <c r="H6" s="77" t="n">
        <v>33.26</v>
      </c>
      <c r="I6" s="78" t="n">
        <v>22.27</v>
      </c>
      <c r="J6" s="77" t="n">
        <v>27.53</v>
      </c>
    </row>
    <row r="7" ht="16" customHeight="1">
      <c r="A7" s="79" t="inlineStr">
        <is>
          <t xml:space="preserve">    Cost of Goods Sold (incl. D&amp;A)</t>
        </is>
      </c>
      <c r="B7" s="80" t="n">
        <v>51</v>
      </c>
      <c r="C7" s="81" t="n">
        <v>38.41</v>
      </c>
      <c r="D7" s="80" t="n">
        <v>29.96</v>
      </c>
      <c r="E7" s="81" t="n">
        <v>30.67</v>
      </c>
      <c r="F7" s="80" t="n">
        <v>42.74</v>
      </c>
      <c r="G7" s="81" t="n">
        <v>30.31</v>
      </c>
      <c r="H7" s="80" t="n">
        <v>34.65</v>
      </c>
      <c r="I7" s="81" t="n">
        <v>26.04</v>
      </c>
      <c r="J7" s="80" t="n">
        <v>34.72</v>
      </c>
    </row>
    <row r="8" ht="16" customHeight="1">
      <c r="A8" s="76" t="inlineStr">
        <is>
          <t>Gross Profit / (Loss)</t>
        </is>
      </c>
      <c r="B8" s="82" t="n">
        <v>-8.810000000000002</v>
      </c>
      <c r="C8" s="82" t="n">
        <v>-9.849999999999998</v>
      </c>
      <c r="D8" s="82" t="n">
        <v>-0.05000000000000071</v>
      </c>
      <c r="E8" s="82" t="n">
        <v>-6.400000000000002</v>
      </c>
      <c r="F8" s="82" t="n">
        <v>-14.5</v>
      </c>
      <c r="G8" s="82" t="n">
        <v>-4.189999999999998</v>
      </c>
      <c r="H8" s="82" t="n">
        <v>-1.390000000000001</v>
      </c>
      <c r="I8" s="82" t="n">
        <v>-3.77</v>
      </c>
      <c r="J8" s="82" t="n">
        <v>-7.189999999999998</v>
      </c>
    </row>
    <row r="9" ht="16" customHeight="1">
      <c r="A9" s="79" t="inlineStr">
        <is>
          <t xml:space="preserve">      Gross Margin (%)</t>
        </is>
      </c>
      <c r="B9" s="83" t="n">
        <v>-0.2088172552737616</v>
      </c>
      <c r="C9" s="83" t="n">
        <v>-0.3448879551820728</v>
      </c>
      <c r="D9" s="83" t="n">
        <v>-0.001671681711802097</v>
      </c>
      <c r="E9" s="83" t="n">
        <v>-0.2637000412031315</v>
      </c>
      <c r="F9" s="83" t="n">
        <v>-0.5134560906515582</v>
      </c>
      <c r="G9" s="83" t="n">
        <v>-0.1604134762633996</v>
      </c>
      <c r="H9" s="83" t="n">
        <v>-0.04179194227300062</v>
      </c>
      <c r="I9" s="83" t="n">
        <v>-0.1692860350246969</v>
      </c>
      <c r="J9" s="83" t="n">
        <v>-0.2611696331274972</v>
      </c>
    </row>
    <row r="10" ht="5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16" customHeight="1">
      <c r="A11" s="79" t="inlineStr">
        <is>
          <t xml:space="preserve">    SG&amp;A</t>
        </is>
      </c>
      <c r="B11" s="80" t="n">
        <v>6.46</v>
      </c>
      <c r="C11" s="81" t="n">
        <v>4.79</v>
      </c>
      <c r="D11" s="80" t="n">
        <v>8.57</v>
      </c>
      <c r="E11" s="81" t="n">
        <v>1.35</v>
      </c>
      <c r="F11" s="80" t="n">
        <v>5.02</v>
      </c>
      <c r="G11" s="81" t="n">
        <v>3.29</v>
      </c>
      <c r="H11" s="80" t="n">
        <v>4.63</v>
      </c>
      <c r="I11" s="81" t="n">
        <v>9.279999999999999</v>
      </c>
      <c r="J11" s="80" t="n">
        <v>4.54</v>
      </c>
    </row>
    <row r="12" ht="16" customHeight="1">
      <c r="A12" s="76" t="inlineStr">
        <is>
          <t>EBIT</t>
        </is>
      </c>
      <c r="B12" s="82" t="n">
        <v>-15.27</v>
      </c>
      <c r="C12" s="82" t="n">
        <v>-14.53</v>
      </c>
      <c r="D12" s="82" t="n">
        <v>-8.640000000000001</v>
      </c>
      <c r="E12" s="82" t="n">
        <v>-7.24</v>
      </c>
      <c r="F12" s="82" t="n">
        <v>-19.52</v>
      </c>
      <c r="G12" s="82" t="n">
        <v>-7.65</v>
      </c>
      <c r="H12" s="82" t="n">
        <v>-6.07</v>
      </c>
      <c r="I12" s="82" t="n">
        <v>-12.86</v>
      </c>
      <c r="J12" s="82" t="n">
        <v>-11.72</v>
      </c>
    </row>
    <row r="13" ht="16" customHeight="1">
      <c r="A13" s="79" t="inlineStr">
        <is>
          <t xml:space="preserve">      EBIT Margin (%)</t>
        </is>
      </c>
      <c r="B13" s="83" t="n">
        <v>-0.361934107608438</v>
      </c>
      <c r="C13" s="83" t="n">
        <v>-0.5087535014005603</v>
      </c>
      <c r="D13" s="83" t="n">
        <v>-0.2888665997993982</v>
      </c>
      <c r="E13" s="83" t="n">
        <v>-0.2983106716110425</v>
      </c>
      <c r="F13" s="83" t="n">
        <v>-0.6912181303116147</v>
      </c>
      <c r="G13" s="83" t="n">
        <v>-0.2928790199081164</v>
      </c>
      <c r="H13" s="83" t="n">
        <v>-0.182501503307276</v>
      </c>
      <c r="I13" s="83" t="n">
        <v>-0.5774584643017512</v>
      </c>
      <c r="J13" s="83" t="n">
        <v>-0.4257173992008717</v>
      </c>
    </row>
    <row r="14" ht="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16" customHeight="1">
      <c r="A15" s="79" t="inlineStr">
        <is>
          <t xml:space="preserve">    Add: D&amp;A</t>
        </is>
      </c>
      <c r="B15" s="80" t="n">
        <v>8.720000000000001</v>
      </c>
      <c r="C15" s="81" t="n">
        <v>6.06</v>
      </c>
      <c r="D15" s="80" t="n">
        <v>5.6</v>
      </c>
      <c r="E15" s="81" t="n">
        <v>7.7</v>
      </c>
      <c r="F15" s="80" t="n">
        <v>5.68</v>
      </c>
      <c r="G15" s="81" t="n">
        <v>4.48</v>
      </c>
      <c r="H15" s="80" t="n">
        <v>5.36</v>
      </c>
      <c r="I15" s="81" t="n">
        <v>6.51</v>
      </c>
      <c r="J15" s="80" t="n">
        <v>7.13</v>
      </c>
    </row>
    <row r="16" ht="16" customHeight="1">
      <c r="A16" s="21" t="inlineStr">
        <is>
          <t>EBITDA</t>
        </is>
      </c>
      <c r="B16" s="39" t="n">
        <v>-6.55</v>
      </c>
      <c r="C16" s="39" t="n">
        <v>-8.470000000000001</v>
      </c>
      <c r="D16" s="39" t="n">
        <v>-3.04</v>
      </c>
      <c r="E16" s="41" t="n">
        <v>0.46</v>
      </c>
      <c r="F16" s="39" t="n">
        <v>-13.84</v>
      </c>
      <c r="G16" s="39" t="n">
        <v>-3.17</v>
      </c>
      <c r="H16" s="39" t="n">
        <v>-0.71</v>
      </c>
      <c r="I16" s="39" t="n">
        <v>-6.35</v>
      </c>
      <c r="J16" s="39" t="n">
        <v>-4.59</v>
      </c>
    </row>
    <row r="17" ht="16" customHeight="1">
      <c r="A17" s="79" t="inlineStr">
        <is>
          <t xml:space="preserve">      EBITDA Margin (%)</t>
        </is>
      </c>
      <c r="B17" s="83" t="n">
        <v>-0.1552500592557478</v>
      </c>
      <c r="C17" s="83" t="n">
        <v>-0.2965686274509804</v>
      </c>
      <c r="D17" s="83" t="n">
        <v>-0.101638248077566</v>
      </c>
      <c r="E17" s="84" t="n">
        <v>0.01895344046147507</v>
      </c>
      <c r="F17" s="83" t="n">
        <v>-0.4900849858356941</v>
      </c>
      <c r="G17" s="83" t="n">
        <v>-0.1213629402756508</v>
      </c>
      <c r="H17" s="83" t="n">
        <v>-0.02134696331930247</v>
      </c>
      <c r="I17" s="83" t="n">
        <v>-0.285136955545577</v>
      </c>
      <c r="J17" s="83" t="n">
        <v>-0.1667272066836178</v>
      </c>
    </row>
    <row r="18" ht="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 ht="16" customHeight="1">
      <c r="A19" s="21" t="inlineStr">
        <is>
          <t>Net Income / (Loss)</t>
        </is>
      </c>
      <c r="B19" s="39" t="n">
        <v>-12.97</v>
      </c>
      <c r="C19" s="39" t="n">
        <v>-14.28</v>
      </c>
      <c r="D19" s="39" t="n">
        <v>-9.66</v>
      </c>
      <c r="E19" s="39" t="n">
        <v>-12.92</v>
      </c>
      <c r="F19" s="39" t="n">
        <v>-9</v>
      </c>
      <c r="G19" s="39" t="n">
        <v>-5.67</v>
      </c>
      <c r="H19" s="39" t="n">
        <v>-36.56</v>
      </c>
      <c r="I19" s="39" t="n">
        <v>-17.28</v>
      </c>
      <c r="J19" s="39" t="n">
        <v>-6.29</v>
      </c>
    </row>
    <row r="20" ht="16" customHeight="1">
      <c r="A20" s="79" t="inlineStr">
        <is>
          <t xml:space="preserve">      Net Margin (%)</t>
        </is>
      </c>
      <c r="B20" s="83" t="n">
        <v>-0.3074188196255037</v>
      </c>
      <c r="C20" s="83" t="n">
        <v>-0.5</v>
      </c>
      <c r="D20" s="83" t="n">
        <v>-0.3229689067201605</v>
      </c>
      <c r="E20" s="83" t="n">
        <v>-0.5323444581788216</v>
      </c>
      <c r="F20" s="83" t="n">
        <v>-0.3186968838526912</v>
      </c>
      <c r="G20" s="83" t="n">
        <v>-0.2170750382848392</v>
      </c>
      <c r="H20" s="83" t="n">
        <v>-1.099218280216476</v>
      </c>
      <c r="I20" s="83" t="n">
        <v>-0.7759317467444994</v>
      </c>
      <c r="J20" s="83" t="n">
        <v>-0.2284780239738467</v>
      </c>
    </row>
    <row r="21" ht="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14" customHeight="1">
      <c r="A22" s="20" t="inlineStr">
        <is>
          <t xml:space="preserve">  PER SHARE DATA</t>
        </is>
      </c>
    </row>
    <row r="23" ht="16" customHeight="1">
      <c r="A23" s="76" t="inlineStr">
        <is>
          <t>EPS (US$/share)</t>
        </is>
      </c>
      <c r="B23" s="85" t="n">
        <v>-0.1468689842599932</v>
      </c>
      <c r="C23" s="85" t="n">
        <v>-0.1617030913826294</v>
      </c>
      <c r="D23" s="85" t="n">
        <v>-0.1093873853470728</v>
      </c>
      <c r="E23" s="85" t="n">
        <v>-0.1463027969652361</v>
      </c>
      <c r="F23" s="85" t="n">
        <v>-0.101913713056279</v>
      </c>
      <c r="G23" s="85" t="n">
        <v>-0.06420563922545577</v>
      </c>
      <c r="H23" s="85" t="n">
        <v>-0.4139961499263957</v>
      </c>
      <c r="I23" s="85" t="n">
        <v>-0.1956743290680557</v>
      </c>
      <c r="J23" s="85" t="n">
        <v>-0.07122636168044388</v>
      </c>
    </row>
    <row r="24" ht="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14" customHeight="1">
      <c r="A25" s="20" t="inlineStr">
        <is>
          <t xml:space="preserve">  BALANCE SHEET REFERENCE  (FactSet FF_NET_DEBT / FF_DEBT — most recent quarter)</t>
        </is>
      </c>
    </row>
    <row r="26" ht="16" customHeight="1">
      <c r="A26" s="86" t="inlineStr">
        <is>
          <t>Net Debt (US$M)  — Q1 2026</t>
        </is>
      </c>
      <c r="B26" s="80" t="n"/>
      <c r="C26" s="81" t="n"/>
      <c r="D26" s="80" t="n"/>
      <c r="E26" s="81" t="n"/>
      <c r="F26" s="80" t="n"/>
      <c r="G26" s="81" t="n"/>
      <c r="H26" s="80" t="n"/>
      <c r="I26" s="81" t="n"/>
      <c r="J26" s="80" t="n">
        <v>96.8</v>
      </c>
    </row>
    <row r="27" ht="16" customHeight="1">
      <c r="A27" s="86" t="inlineStr">
        <is>
          <t>Total Debt (US$M) — Q1 2026</t>
        </is>
      </c>
      <c r="B27" s="80" t="n"/>
      <c r="C27" s="81" t="n"/>
      <c r="D27" s="80" t="n"/>
      <c r="E27" s="81" t="n"/>
      <c r="F27" s="80" t="n"/>
      <c r="G27" s="81" t="n"/>
      <c r="H27" s="80" t="n"/>
      <c r="I27" s="81" t="n"/>
      <c r="J27" s="80" t="n">
        <v>108.4</v>
      </c>
    </row>
    <row r="28" ht="16" customHeight="1">
      <c r="A28" s="86" t="inlineStr">
        <is>
          <t>Cash (US$M) — Q1 2026</t>
        </is>
      </c>
      <c r="B28" s="80" t="n"/>
      <c r="C28" s="81" t="n"/>
      <c r="D28" s="80" t="n"/>
      <c r="E28" s="81" t="n"/>
      <c r="F28" s="80" t="n"/>
      <c r="G28" s="81" t="n"/>
      <c r="H28" s="80" t="n"/>
      <c r="I28" s="81" t="n"/>
      <c r="J28" s="80" t="n">
        <v>11.6</v>
      </c>
    </row>
    <row r="29" ht="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28" customHeight="1">
      <c r="A30" s="72" t="inlineStr">
        <is>
          <t>† Q3 2025: Net Loss of US$36.6M includes a large non-cash impairment of the VCHARGE electrolyte business. Tax line reflects a US$26.2M deferred tax benefit partly offsetting the write-down. EBITDA of –US$0.7M was broadly in line with adjacent quarters.</t>
        </is>
      </c>
    </row>
  </sheetData>
  <mergeCells count="6">
    <mergeCell ref="A1:J1"/>
    <mergeCell ref="A5:J5"/>
    <mergeCell ref="A22:J22"/>
    <mergeCell ref="A30:J30"/>
    <mergeCell ref="A2:J2"/>
    <mergeCell ref="A25:J2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2026-05-17T22:54:59Z</dcterms:created>
  <dcterms:modified xsi:type="dcterms:W3CDTF">2026-05-17T22:54:59Z</dcterms:modified>
</cp:coreProperties>
</file>